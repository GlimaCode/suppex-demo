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تنظیمات" sheetId="2" state="visible" r:id="rId2"/>
    <sheet name="راهنما" sheetId="3" state="visible" r:id="rId3"/>
  </sheets>
  <definedNames>
    <definedName name="_xlnm._FilterDatabase" localSheetId="0" hidden="1">'محصولات'!$A$1:$R$1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0C27A"/>
      <sz val="11"/>
    </font>
    <font>
      <i val="1"/>
      <color rgb="006B6B6B"/>
    </font>
    <font>
      <b val="1"/>
      <color rgb="00FFFFFF"/>
    </font>
    <font>
      <b val="1"/>
      <sz val="13"/>
    </font>
    <font>
      <b val="1"/>
      <color rgb="007A5B12"/>
    </font>
    <font>
      <b val="1"/>
      <color rgb="001A1A1A"/>
    </font>
  </fonts>
  <fills count="9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4A3B22"/>
      </patternFill>
    </fill>
    <fill>
      <patternFill patternType="solid">
        <fgColor rgb="00F5F5F5"/>
      </patternFill>
    </fill>
    <fill>
      <patternFill patternType="solid">
        <fgColor rgb="00FFF4E5"/>
      </patternFill>
    </fill>
    <fill>
      <patternFill patternType="solid">
        <fgColor rgb="00EDEDED"/>
      </patternFill>
    </fill>
    <fill>
      <patternFill patternType="solid">
        <fgColor rgb="00EAF4EC"/>
      </patternFill>
    </fill>
    <fill>
      <patternFill patternType="solid">
        <fgColor rgb="00FBF3E2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7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5" fillId="8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6" fillId="8" borderId="1" applyAlignment="1" pivotButton="0" quotePrefix="0" xfId="0">
      <alignment vertical="top"/>
    </xf>
    <xf numFmtId="0" fontId="0" fillId="8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SUPPEX</author>
  </authors>
  <commentList>
    <comment ref="K1" authorId="0" shapeId="0">
      <text>
        <t>مرحله ۲ — این ستون را خالی بگذارید.
بعد از اینکه محصولات کامل شد، روی همین فایل با هم پرش می‌کنیم.</t>
      </text>
    </comment>
    <comment ref="L1" authorId="0" shapeId="0">
      <text>
        <t>خودکار محاسبه می‌شود — تایپ نکنید.
درصد را که عوض کنید، این هم عوض می‌شود.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6" customWidth="1" min="4" max="4"/>
    <col width="14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8" customWidth="1" min="12" max="12"/>
    <col width="17" customWidth="1" min="13" max="13"/>
    <col width="30" customWidth="1" min="14" max="14"/>
    <col width="17" customWidth="1" min="15" max="15"/>
    <col width="38" customWidth="1" min="16" max="16"/>
    <col width="34" customWidth="1" min="17" max="17"/>
    <col width="48" customWidth="1" min="18" max="18"/>
  </cols>
  <sheetData>
    <row r="1" ht="38" customHeight="1">
      <c r="A1" s="1" t="inlineStr">
        <is>
          <t>نام فارسی</t>
        </is>
      </c>
      <c r="B1" s="1" t="inlineStr">
        <is>
          <t>نام انگلیسی</t>
        </is>
      </c>
      <c r="C1" s="1" t="inlineStr">
        <is>
          <t>برند</t>
        </is>
      </c>
      <c r="D1" s="1" t="inlineStr">
        <is>
          <t>دسته</t>
        </is>
      </c>
      <c r="E1" s="1" t="inlineStr">
        <is>
          <t>اندازه</t>
        </is>
      </c>
      <c r="F1" s="1" t="inlineStr">
        <is>
          <t>قیمت خرید (درهم)</t>
        </is>
      </c>
      <c r="G1" s="1" t="inlineStr">
        <is>
          <t>قیمت خرید (تومان)</t>
        </is>
      </c>
      <c r="H1" s="1" t="inlineStr">
        <is>
          <t>سود (تومان)</t>
        </is>
      </c>
      <c r="I1" s="1" t="inlineStr">
        <is>
          <t>قیمت فروش (تومان)</t>
        </is>
      </c>
      <c r="J1" s="1" t="inlineStr">
        <is>
          <t>تخفیف (تومان)</t>
        </is>
      </c>
      <c r="K1" s="2" t="inlineStr">
        <is>
          <t>درصد همکاری</t>
        </is>
      </c>
      <c r="L1" s="1" t="inlineStr">
        <is>
          <t>سهم ما (تومان)</t>
        </is>
      </c>
      <c r="M1" s="1" t="inlineStr">
        <is>
          <t>موجود</t>
        </is>
      </c>
      <c r="N1" s="1" t="inlineStr">
        <is>
          <t>طعم‌ها</t>
        </is>
      </c>
      <c r="O1" s="1" t="inlineStr">
        <is>
          <t>تعداد وعده</t>
        </is>
      </c>
      <c r="P1" s="1" t="inlineStr">
        <is>
          <t>مشخصات کلیدی</t>
        </is>
      </c>
      <c r="Q1" s="1" t="inlineStr">
        <is>
          <t>توضیح کوتاه</t>
        </is>
      </c>
      <c r="R1" s="1" t="inlineStr">
        <is>
          <t>توضیح کامل</t>
        </is>
      </c>
    </row>
    <row r="2" ht="30" customHeight="1">
      <c r="A2" s="3" t="inlineStr">
        <is>
          <t>وی پروتئین اورجینال</t>
        </is>
      </c>
      <c r="B2" s="3" t="inlineStr">
        <is>
          <t>Whey Original</t>
        </is>
      </c>
      <c r="C2" s="3" t="inlineStr">
        <is>
          <t>SUPPEX</t>
        </is>
      </c>
      <c r="D2" s="3" t="inlineStr">
        <is>
          <t>پروتئین</t>
        </is>
      </c>
      <c r="E2" s="3" t="inlineStr">
        <is>
          <t>900 گرم</t>
        </is>
      </c>
      <c r="F2" s="3" t="inlineStr">
        <is>
          <t>40</t>
        </is>
      </c>
      <c r="G2" s="4" t="inlineStr"/>
      <c r="H2" s="4" t="inlineStr">
        <is>
          <t>1500000</t>
        </is>
      </c>
      <c r="I2" s="4" t="inlineStr"/>
      <c r="J2" s="4" t="inlineStr"/>
      <c r="K2" s="3" t="inlineStr"/>
      <c r="L2" s="4">
        <f>IF(AND($H2="",OR($G2="",$I2="")),"",ROUND(((IF($H2="",$I2-$G2,$H2))-(MIN(IF($J2="",0,$J2),(IF($H2="",$I2-$G2,$H2))/2)))*(IF($K2="",'تنظیمات'!$B$2,$K2))/100,0))</f>
        <v/>
      </c>
      <c r="M2" s="3" t="inlineStr">
        <is>
          <t>بله</t>
        </is>
      </c>
      <c r="N2" s="3" t="inlineStr">
        <is>
          <t>شکلاتی، وانیلی، توت فرنگی</t>
        </is>
      </c>
      <c r="O2" s="3" t="inlineStr">
        <is>
          <t>30</t>
        </is>
      </c>
      <c r="P2" s="5" t="inlineStr">
        <is>
          <t>۲۴ گرم پروتئین در هر پیمانه
بدون قند افزوده، بدون رنگ مصنوعی</t>
        </is>
      </c>
      <c r="Q2" s="3" t="inlineStr">
        <is>
          <t>وی کنسانتره و ایزوله میکروفیلتر شده</t>
        </is>
      </c>
      <c r="R2" s="3" t="inlineStr">
        <is>
          <t>هر وعده ۲۴ گرم پروتئین دارد. بعد از تمرین با آب یا شیر مصرف شود.</t>
        </is>
      </c>
    </row>
    <row r="3" ht="30" customHeight="1">
      <c r="A3" s="3" t="inlineStr">
        <is>
          <t>وی پروتئین اورجینال</t>
        </is>
      </c>
      <c r="B3" s="3" t="inlineStr">
        <is>
          <t>Whey Original</t>
        </is>
      </c>
      <c r="C3" s="3" t="inlineStr">
        <is>
          <t>SUPPEX</t>
        </is>
      </c>
      <c r="D3" s="3" t="inlineStr">
        <is>
          <t>پروتئین</t>
        </is>
      </c>
      <c r="E3" s="3" t="inlineStr">
        <is>
          <t>2270 گرم</t>
        </is>
      </c>
      <c r="F3" s="3" t="inlineStr">
        <is>
          <t>95</t>
        </is>
      </c>
      <c r="G3" s="4" t="inlineStr"/>
      <c r="H3" s="4" t="inlineStr">
        <is>
          <t>2000000</t>
        </is>
      </c>
      <c r="I3" s="4" t="inlineStr"/>
      <c r="J3" s="4" t="inlineStr"/>
      <c r="K3" s="3" t="inlineStr"/>
      <c r="L3" s="4">
        <f>IF(AND($H3="",OR($G3="",$I3="")),"",ROUND(((IF($H3="",$I3-$G3,$H3))-(MIN(IF($J3="",0,$J3),(IF($H3="",$I3-$G3,$H3))/2)))*(IF($K3="",'تنظیمات'!$B$2,$K3))/100,0))</f>
        <v/>
      </c>
      <c r="M3" s="3" t="inlineStr">
        <is>
          <t>بله</t>
        </is>
      </c>
      <c r="N3" s="3" t="inlineStr"/>
      <c r="O3" s="3" t="inlineStr">
        <is>
          <t>76</t>
        </is>
      </c>
      <c r="P3" s="5" t="inlineStr"/>
      <c r="Q3" s="3" t="inlineStr"/>
      <c r="R3" s="3" t="inlineStr"/>
    </row>
    <row r="4" ht="30" customHeight="1">
      <c r="A4" s="3" t="inlineStr">
        <is>
          <t>کراتین مونوهیدرات</t>
        </is>
      </c>
      <c r="B4" s="3" t="inlineStr">
        <is>
          <t>Creatine Monohydrate</t>
        </is>
      </c>
      <c r="C4" s="3" t="inlineStr">
        <is>
          <t>SUPPEX</t>
        </is>
      </c>
      <c r="D4" s="3" t="inlineStr">
        <is>
          <t>کراتین</t>
        </is>
      </c>
      <c r="E4" s="3" t="inlineStr"/>
      <c r="F4" s="3" t="inlineStr">
        <is>
          <t>18</t>
        </is>
      </c>
      <c r="G4" s="4" t="inlineStr"/>
      <c r="H4" s="4" t="inlineStr">
        <is>
          <t>900000</t>
        </is>
      </c>
      <c r="I4" s="4" t="inlineStr"/>
      <c r="J4" s="4" t="inlineStr"/>
      <c r="K4" s="3" t="inlineStr"/>
      <c r="L4" s="4">
        <f>IF(AND($H4="",OR($G4="",$I4="")),"",ROUND(((IF($H4="",$I4-$G4,$H4))-(MIN(IF($J4="",0,$J4),(IF($H4="",$I4-$G4,$H4))/2)))*(IF($K4="",'تنظیمات'!$B$2,$K4))/100,0))</f>
        <v/>
      </c>
      <c r="M4" s="3" t="inlineStr">
        <is>
          <t>بله</t>
        </is>
      </c>
      <c r="N4" s="3" t="inlineStr"/>
      <c r="O4" s="3" t="inlineStr">
        <is>
          <t>100</t>
        </is>
      </c>
      <c r="P4" s="5" t="inlineStr">
        <is>
          <t>۵ گرم کراتین خالص در هر وعده
بدون نیاز به دوره بارگیری</t>
        </is>
      </c>
      <c r="Q4" s="3" t="inlineStr">
        <is>
          <t>کراتین میکرونایز خالص</t>
        </is>
      </c>
      <c r="R4" s="3" t="inlineStr"/>
    </row>
    <row r="5" ht="30" customHeight="1">
      <c r="A5" s="3" t="inlineStr">
        <is>
          <t>مولتی ویتامین روزانه</t>
        </is>
      </c>
      <c r="B5" s="3" t="inlineStr">
        <is>
          <t>Daily Multivitamin</t>
        </is>
      </c>
      <c r="C5" s="3" t="inlineStr">
        <is>
          <t>SUPPEX</t>
        </is>
      </c>
      <c r="D5" s="3" t="inlineStr">
        <is>
          <t>ویتامین و مکمل</t>
        </is>
      </c>
      <c r="E5" s="3" t="inlineStr"/>
      <c r="F5" s="3" t="inlineStr"/>
      <c r="G5" s="4" t="inlineStr">
        <is>
          <t>650000</t>
        </is>
      </c>
      <c r="H5" s="4" t="inlineStr">
        <is>
          <t>600000</t>
        </is>
      </c>
      <c r="I5" s="4" t="inlineStr"/>
      <c r="J5" s="4" t="inlineStr"/>
      <c r="K5" s="3" t="inlineStr"/>
      <c r="L5" s="4">
        <f>IF(AND($H5="",OR($G5="",$I5="")),"",ROUND(((IF($H5="",$I5-$G5,$H5))-(MIN(IF($J5="",0,$J5),(IF($H5="",$I5-$G5,$H5))/2)))*(IF($K5="",'تنظیمات'!$B$2,$K5))/100,0))</f>
        <v/>
      </c>
      <c r="M5" s="3" t="inlineStr">
        <is>
          <t>بله</t>
        </is>
      </c>
      <c r="N5" s="3" t="inlineStr"/>
      <c r="O5" s="3" t="inlineStr">
        <is>
          <t>60</t>
        </is>
      </c>
      <c r="P5" s="5" t="inlineStr"/>
      <c r="Q5" s="3" t="inlineStr">
        <is>
          <t>مولتی ویتامین کامل روزانه</t>
        </is>
      </c>
      <c r="R5" s="3" t="inlineStr"/>
    </row>
    <row r="6" ht="30" customHeight="1">
      <c r="A6" s="3" t="inlineStr">
        <is>
          <t>بی سی آمینو</t>
        </is>
      </c>
      <c r="B6" s="3" t="inlineStr">
        <is>
          <t>BCAA 2:1:1</t>
        </is>
      </c>
      <c r="C6" s="3" t="inlineStr">
        <is>
          <t>SUPPEX</t>
        </is>
      </c>
      <c r="D6" s="3" t="inlineStr">
        <is>
          <t>آمینو و BCAA</t>
        </is>
      </c>
      <c r="E6" s="3" t="inlineStr"/>
      <c r="F6" s="3" t="inlineStr"/>
      <c r="G6" s="4" t="inlineStr">
        <is>
          <t>820000</t>
        </is>
      </c>
      <c r="H6" s="4" t="inlineStr"/>
      <c r="I6" s="4" t="inlineStr">
        <is>
          <t>1150000</t>
        </is>
      </c>
      <c r="J6" s="4" t="inlineStr">
        <is>
          <t>50000</t>
        </is>
      </c>
      <c r="K6" s="3" t="inlineStr">
        <is>
          <t>8</t>
        </is>
      </c>
      <c r="L6" s="4">
        <f>IF(AND($H6="",OR($G6="",$I6="")),"",ROUND(((IF($H6="",$I6-$G6,$H6))-(MIN(IF($J6="",0,$J6),(IF($H6="",$I6-$G6,$H6))/2)))*(IF($K6="",'تنظیمات'!$B$2,$K6))/100,0))</f>
        <v/>
      </c>
      <c r="M6" s="3" t="inlineStr">
        <is>
          <t>بله</t>
        </is>
      </c>
      <c r="N6" s="3" t="inlineStr">
        <is>
          <t>هندوانه، لیمو</t>
        </is>
      </c>
      <c r="O6" s="3" t="inlineStr">
        <is>
          <t>40</t>
        </is>
      </c>
      <c r="P6" s="5" t="inlineStr"/>
      <c r="Q6" s="3" t="inlineStr">
        <is>
          <t>آمینو شاخه‌دار با نسبت ۲:۱:۱</t>
        </is>
      </c>
      <c r="R6" s="3" t="inlineStr"/>
    </row>
    <row r="7">
      <c r="F7" s="6" t="n"/>
      <c r="G7" s="7" t="n"/>
      <c r="H7" s="7" t="n"/>
      <c r="I7" s="7" t="n"/>
      <c r="J7" s="7" t="n"/>
      <c r="K7" s="8" t="n"/>
      <c r="L7" s="9">
        <f>IF(AND($H7="",OR($G7="",$I7="")),"",ROUND(((IF($H7="",$I7-$G7,$H7))-(MIN(IF($J7="",0,$J7),(IF($H7="",$I7-$G7,$H7))/2)))*(IF($K7="",'تنظیمات'!$B$2,$K7))/100,0))</f>
        <v/>
      </c>
      <c r="P7" s="10" t="n"/>
    </row>
    <row r="8">
      <c r="F8" s="6" t="n"/>
      <c r="G8" s="7" t="n"/>
      <c r="H8" s="7" t="n"/>
      <c r="I8" s="7" t="n"/>
      <c r="J8" s="7" t="n"/>
      <c r="K8" s="8" t="n"/>
      <c r="L8" s="9">
        <f>IF(AND($H8="",OR($G8="",$I8="")),"",ROUND(((IF($H8="",$I8-$G8,$H8))-(MIN(IF($J8="",0,$J8),(IF($H8="",$I8-$G8,$H8))/2)))*(IF($K8="",'تنظیمات'!$B$2,$K8))/100,0))</f>
        <v/>
      </c>
      <c r="P8" s="10" t="n"/>
    </row>
    <row r="9">
      <c r="F9" s="6" t="n"/>
      <c r="G9" s="7" t="n"/>
      <c r="H9" s="7" t="n"/>
      <c r="I9" s="7" t="n"/>
      <c r="J9" s="7" t="n"/>
      <c r="K9" s="8" t="n"/>
      <c r="L9" s="9">
        <f>IF(AND($H9="",OR($G9="",$I9="")),"",ROUND(((IF($H9="",$I9-$G9,$H9))-(MIN(IF($J9="",0,$J9),(IF($H9="",$I9-$G9,$H9))/2)))*(IF($K9="",'تنظیمات'!$B$2,$K9))/100,0))</f>
        <v/>
      </c>
      <c r="P9" s="10" t="n"/>
    </row>
    <row r="10">
      <c r="F10" s="6" t="n"/>
      <c r="G10" s="7" t="n"/>
      <c r="H10" s="7" t="n"/>
      <c r="I10" s="7" t="n"/>
      <c r="J10" s="7" t="n"/>
      <c r="K10" s="8" t="n"/>
      <c r="L10" s="9">
        <f>IF(AND($H10="",OR($G10="",$I10="")),"",ROUND(((IF($H10="",$I10-$G10,$H10))-(MIN(IF($J10="",0,$J10),(IF($H10="",$I10-$G10,$H10))/2)))*(IF($K10="",'تنظیمات'!$B$2,$K10))/100,0))</f>
        <v/>
      </c>
      <c r="P10" s="10" t="n"/>
    </row>
    <row r="11">
      <c r="F11" s="6" t="n"/>
      <c r="G11" s="7" t="n"/>
      <c r="H11" s="7" t="n"/>
      <c r="I11" s="7" t="n"/>
      <c r="J11" s="7" t="n"/>
      <c r="K11" s="8" t="n"/>
      <c r="L11" s="9">
        <f>IF(AND($H11="",OR($G11="",$I11="")),"",ROUND(((IF($H11="",$I11-$G11,$H11))-(MIN(IF($J11="",0,$J11),(IF($H11="",$I11-$G11,$H11))/2)))*(IF($K11="",'تنظیمات'!$B$2,$K11))/100,0))</f>
        <v/>
      </c>
      <c r="P11" s="10" t="n"/>
    </row>
    <row r="12">
      <c r="F12" s="6" t="n"/>
      <c r="G12" s="7" t="n"/>
      <c r="H12" s="7" t="n"/>
      <c r="I12" s="7" t="n"/>
      <c r="J12" s="7" t="n"/>
      <c r="K12" s="8" t="n"/>
      <c r="L12" s="9">
        <f>IF(AND($H12="",OR($G12="",$I12="")),"",ROUND(((IF($H12="",$I12-$G12,$H12))-(MIN(IF($J12="",0,$J12),(IF($H12="",$I12-$G12,$H12))/2)))*(IF($K12="",'تنظیمات'!$B$2,$K12))/100,0))</f>
        <v/>
      </c>
      <c r="P12" s="10" t="n"/>
    </row>
    <row r="13">
      <c r="F13" s="6" t="n"/>
      <c r="G13" s="7" t="n"/>
      <c r="H13" s="7" t="n"/>
      <c r="I13" s="7" t="n"/>
      <c r="J13" s="7" t="n"/>
      <c r="K13" s="8" t="n"/>
      <c r="L13" s="9">
        <f>IF(AND($H13="",OR($G13="",$I13="")),"",ROUND(((IF($H13="",$I13-$G13,$H13))-(MIN(IF($J13="",0,$J13),(IF($H13="",$I13-$G13,$H13))/2)))*(IF($K13="",'تنظیمات'!$B$2,$K13))/100,0))</f>
        <v/>
      </c>
      <c r="P13" s="10" t="n"/>
    </row>
    <row r="14">
      <c r="F14" s="6" t="n"/>
      <c r="G14" s="7" t="n"/>
      <c r="H14" s="7" t="n"/>
      <c r="I14" s="7" t="n"/>
      <c r="J14" s="7" t="n"/>
      <c r="K14" s="8" t="n"/>
      <c r="L14" s="9">
        <f>IF(AND($H14="",OR($G14="",$I14="")),"",ROUND(((IF($H14="",$I14-$G14,$H14))-(MIN(IF($J14="",0,$J14),(IF($H14="",$I14-$G14,$H14))/2)))*(IF($K14="",'تنظیمات'!$B$2,$K14))/100,0))</f>
        <v/>
      </c>
      <c r="P14" s="10" t="n"/>
    </row>
    <row r="15">
      <c r="F15" s="6" t="n"/>
      <c r="G15" s="7" t="n"/>
      <c r="H15" s="7" t="n"/>
      <c r="I15" s="7" t="n"/>
      <c r="J15" s="7" t="n"/>
      <c r="K15" s="8" t="n"/>
      <c r="L15" s="9">
        <f>IF(AND($H15="",OR($G15="",$I15="")),"",ROUND(((IF($H15="",$I15-$G15,$H15))-(MIN(IF($J15="",0,$J15),(IF($H15="",$I15-$G15,$H15))/2)))*(IF($K15="",'تنظیمات'!$B$2,$K15))/100,0))</f>
        <v/>
      </c>
      <c r="P15" s="10" t="n"/>
    </row>
    <row r="16">
      <c r="F16" s="6" t="n"/>
      <c r="G16" s="7" t="n"/>
      <c r="H16" s="7" t="n"/>
      <c r="I16" s="7" t="n"/>
      <c r="J16" s="7" t="n"/>
      <c r="K16" s="8" t="n"/>
      <c r="L16" s="9">
        <f>IF(AND($H16="",OR($G16="",$I16="")),"",ROUND(((IF($H16="",$I16-$G16,$H16))-(MIN(IF($J16="",0,$J16),(IF($H16="",$I16-$G16,$H16))/2)))*(IF($K16="",'تنظیمات'!$B$2,$K16))/100,0))</f>
        <v/>
      </c>
      <c r="P16" s="10" t="n"/>
    </row>
    <row r="17">
      <c r="F17" s="6" t="n"/>
      <c r="G17" s="7" t="n"/>
      <c r="H17" s="7" t="n"/>
      <c r="I17" s="7" t="n"/>
      <c r="J17" s="7" t="n"/>
      <c r="K17" s="8" t="n"/>
      <c r="L17" s="9">
        <f>IF(AND($H17="",OR($G17="",$I17="")),"",ROUND(((IF($H17="",$I17-$G17,$H17))-(MIN(IF($J17="",0,$J17),(IF($H17="",$I17-$G17,$H17))/2)))*(IF($K17="",'تنظیمات'!$B$2,$K17))/100,0))</f>
        <v/>
      </c>
      <c r="P17" s="10" t="n"/>
    </row>
    <row r="18">
      <c r="F18" s="6" t="n"/>
      <c r="G18" s="7" t="n"/>
      <c r="H18" s="7" t="n"/>
      <c r="I18" s="7" t="n"/>
      <c r="J18" s="7" t="n"/>
      <c r="K18" s="8" t="n"/>
      <c r="L18" s="9">
        <f>IF(AND($H18="",OR($G18="",$I18="")),"",ROUND(((IF($H18="",$I18-$G18,$H18))-(MIN(IF($J18="",0,$J18),(IF($H18="",$I18-$G18,$H18))/2)))*(IF($K18="",'تنظیمات'!$B$2,$K18))/100,0))</f>
        <v/>
      </c>
      <c r="P18" s="10" t="n"/>
    </row>
    <row r="19">
      <c r="F19" s="6" t="n"/>
      <c r="G19" s="7" t="n"/>
      <c r="H19" s="7" t="n"/>
      <c r="I19" s="7" t="n"/>
      <c r="J19" s="7" t="n"/>
      <c r="K19" s="8" t="n"/>
      <c r="L19" s="9">
        <f>IF(AND($H19="",OR($G19="",$I19="")),"",ROUND(((IF($H19="",$I19-$G19,$H19))-(MIN(IF($J19="",0,$J19),(IF($H19="",$I19-$G19,$H19))/2)))*(IF($K19="",'تنظیمات'!$B$2,$K19))/100,0))</f>
        <v/>
      </c>
      <c r="P19" s="10" t="n"/>
    </row>
    <row r="20">
      <c r="F20" s="6" t="n"/>
      <c r="G20" s="7" t="n"/>
      <c r="H20" s="7" t="n"/>
      <c r="I20" s="7" t="n"/>
      <c r="J20" s="7" t="n"/>
      <c r="K20" s="8" t="n"/>
      <c r="L20" s="9">
        <f>IF(AND($H20="",OR($G20="",$I20="")),"",ROUND(((IF($H20="",$I20-$G20,$H20))-(MIN(IF($J20="",0,$J20),(IF($H20="",$I20-$G20,$H20))/2)))*(IF($K20="",'تنظیمات'!$B$2,$K20))/100,0))</f>
        <v/>
      </c>
      <c r="P20" s="10" t="n"/>
    </row>
    <row r="21">
      <c r="F21" s="6" t="n"/>
      <c r="G21" s="7" t="n"/>
      <c r="H21" s="7" t="n"/>
      <c r="I21" s="7" t="n"/>
      <c r="J21" s="7" t="n"/>
      <c r="K21" s="8" t="n"/>
      <c r="L21" s="9">
        <f>IF(AND($H21="",OR($G21="",$I21="")),"",ROUND(((IF($H21="",$I21-$G21,$H21))-(MIN(IF($J21="",0,$J21),(IF($H21="",$I21-$G21,$H21))/2)))*(IF($K21="",'تنظیمات'!$B$2,$K21))/100,0))</f>
        <v/>
      </c>
      <c r="P21" s="10" t="n"/>
    </row>
    <row r="22">
      <c r="F22" s="6" t="n"/>
      <c r="G22" s="7" t="n"/>
      <c r="H22" s="7" t="n"/>
      <c r="I22" s="7" t="n"/>
      <c r="J22" s="7" t="n"/>
      <c r="K22" s="8" t="n"/>
      <c r="L22" s="9">
        <f>IF(AND($H22="",OR($G22="",$I22="")),"",ROUND(((IF($H22="",$I22-$G22,$H22))-(MIN(IF($J22="",0,$J22),(IF($H22="",$I22-$G22,$H22))/2)))*(IF($K22="",'تنظیمات'!$B$2,$K22))/100,0))</f>
        <v/>
      </c>
      <c r="P22" s="10" t="n"/>
    </row>
    <row r="23">
      <c r="F23" s="6" t="n"/>
      <c r="G23" s="7" t="n"/>
      <c r="H23" s="7" t="n"/>
      <c r="I23" s="7" t="n"/>
      <c r="J23" s="7" t="n"/>
      <c r="K23" s="8" t="n"/>
      <c r="L23" s="9">
        <f>IF(AND($H23="",OR($G23="",$I23="")),"",ROUND(((IF($H23="",$I23-$G23,$H23))-(MIN(IF($J23="",0,$J23),(IF($H23="",$I23-$G23,$H23))/2)))*(IF($K23="",'تنظیمات'!$B$2,$K23))/100,0))</f>
        <v/>
      </c>
      <c r="P23" s="10" t="n"/>
    </row>
    <row r="24">
      <c r="F24" s="6" t="n"/>
      <c r="G24" s="7" t="n"/>
      <c r="H24" s="7" t="n"/>
      <c r="I24" s="7" t="n"/>
      <c r="J24" s="7" t="n"/>
      <c r="K24" s="8" t="n"/>
      <c r="L24" s="9">
        <f>IF(AND($H24="",OR($G24="",$I24="")),"",ROUND(((IF($H24="",$I24-$G24,$H24))-(MIN(IF($J24="",0,$J24),(IF($H24="",$I24-$G24,$H24))/2)))*(IF($K24="",'تنظیمات'!$B$2,$K24))/100,0))</f>
        <v/>
      </c>
      <c r="P24" s="10" t="n"/>
    </row>
    <row r="25">
      <c r="F25" s="6" t="n"/>
      <c r="G25" s="7" t="n"/>
      <c r="H25" s="7" t="n"/>
      <c r="I25" s="7" t="n"/>
      <c r="J25" s="7" t="n"/>
      <c r="K25" s="8" t="n"/>
      <c r="L25" s="9">
        <f>IF(AND($H25="",OR($G25="",$I25="")),"",ROUND(((IF($H25="",$I25-$G25,$H25))-(MIN(IF($J25="",0,$J25),(IF($H25="",$I25-$G25,$H25))/2)))*(IF($K25="",'تنظیمات'!$B$2,$K25))/100,0))</f>
        <v/>
      </c>
      <c r="P25" s="10" t="n"/>
    </row>
    <row r="26">
      <c r="F26" s="6" t="n"/>
      <c r="G26" s="7" t="n"/>
      <c r="H26" s="7" t="n"/>
      <c r="I26" s="7" t="n"/>
      <c r="J26" s="7" t="n"/>
      <c r="K26" s="8" t="n"/>
      <c r="L26" s="9">
        <f>IF(AND($H26="",OR($G26="",$I26="")),"",ROUND(((IF($H26="",$I26-$G26,$H26))-(MIN(IF($J26="",0,$J26),(IF($H26="",$I26-$G26,$H26))/2)))*(IF($K26="",'تنظیمات'!$B$2,$K26))/100,0))</f>
        <v/>
      </c>
      <c r="P26" s="10" t="n"/>
    </row>
    <row r="27">
      <c r="F27" s="6" t="n"/>
      <c r="G27" s="7" t="n"/>
      <c r="H27" s="7" t="n"/>
      <c r="I27" s="7" t="n"/>
      <c r="J27" s="7" t="n"/>
      <c r="K27" s="8" t="n"/>
      <c r="L27" s="9">
        <f>IF(AND($H27="",OR($G27="",$I27="")),"",ROUND(((IF($H27="",$I27-$G27,$H27))-(MIN(IF($J27="",0,$J27),(IF($H27="",$I27-$G27,$H27))/2)))*(IF($K27="",'تنظیمات'!$B$2,$K27))/100,0))</f>
        <v/>
      </c>
      <c r="P27" s="10" t="n"/>
    </row>
    <row r="28">
      <c r="F28" s="6" t="n"/>
      <c r="G28" s="7" t="n"/>
      <c r="H28" s="7" t="n"/>
      <c r="I28" s="7" t="n"/>
      <c r="J28" s="7" t="n"/>
      <c r="K28" s="8" t="n"/>
      <c r="L28" s="9">
        <f>IF(AND($H28="",OR($G28="",$I28="")),"",ROUND(((IF($H28="",$I28-$G28,$H28))-(MIN(IF($J28="",0,$J28),(IF($H28="",$I28-$G28,$H28))/2)))*(IF($K28="",'تنظیمات'!$B$2,$K28))/100,0))</f>
        <v/>
      </c>
      <c r="P28" s="10" t="n"/>
    </row>
    <row r="29">
      <c r="F29" s="6" t="n"/>
      <c r="G29" s="7" t="n"/>
      <c r="H29" s="7" t="n"/>
      <c r="I29" s="7" t="n"/>
      <c r="J29" s="7" t="n"/>
      <c r="K29" s="8" t="n"/>
      <c r="L29" s="9">
        <f>IF(AND($H29="",OR($G29="",$I29="")),"",ROUND(((IF($H29="",$I29-$G29,$H29))-(MIN(IF($J29="",0,$J29),(IF($H29="",$I29-$G29,$H29))/2)))*(IF($K29="",'تنظیمات'!$B$2,$K29))/100,0))</f>
        <v/>
      </c>
      <c r="P29" s="10" t="n"/>
    </row>
    <row r="30">
      <c r="F30" s="6" t="n"/>
      <c r="G30" s="7" t="n"/>
      <c r="H30" s="7" t="n"/>
      <c r="I30" s="7" t="n"/>
      <c r="J30" s="7" t="n"/>
      <c r="K30" s="8" t="n"/>
      <c r="L30" s="9">
        <f>IF(AND($H30="",OR($G30="",$I30="")),"",ROUND(((IF($H30="",$I30-$G30,$H30))-(MIN(IF($J30="",0,$J30),(IF($H30="",$I30-$G30,$H30))/2)))*(IF($K30="",'تنظیمات'!$B$2,$K30))/100,0))</f>
        <v/>
      </c>
      <c r="P30" s="10" t="n"/>
    </row>
    <row r="31">
      <c r="F31" s="6" t="n"/>
      <c r="G31" s="7" t="n"/>
      <c r="H31" s="7" t="n"/>
      <c r="I31" s="7" t="n"/>
      <c r="J31" s="7" t="n"/>
      <c r="K31" s="8" t="n"/>
      <c r="L31" s="9">
        <f>IF(AND($H31="",OR($G31="",$I31="")),"",ROUND(((IF($H31="",$I31-$G31,$H31))-(MIN(IF($J31="",0,$J31),(IF($H31="",$I31-$G31,$H31))/2)))*(IF($K31="",'تنظیمات'!$B$2,$K31))/100,0))</f>
        <v/>
      </c>
      <c r="P31" s="10" t="n"/>
    </row>
    <row r="32">
      <c r="F32" s="6" t="n"/>
      <c r="G32" s="7" t="n"/>
      <c r="H32" s="7" t="n"/>
      <c r="I32" s="7" t="n"/>
      <c r="J32" s="7" t="n"/>
      <c r="K32" s="8" t="n"/>
      <c r="L32" s="9">
        <f>IF(AND($H32="",OR($G32="",$I32="")),"",ROUND(((IF($H32="",$I32-$G32,$H32))-(MIN(IF($J32="",0,$J32),(IF($H32="",$I32-$G32,$H32))/2)))*(IF($K32="",'تنظیمات'!$B$2,$K32))/100,0))</f>
        <v/>
      </c>
      <c r="P32" s="10" t="n"/>
    </row>
    <row r="33">
      <c r="F33" s="6" t="n"/>
      <c r="G33" s="7" t="n"/>
      <c r="H33" s="7" t="n"/>
      <c r="I33" s="7" t="n"/>
      <c r="J33" s="7" t="n"/>
      <c r="K33" s="8" t="n"/>
      <c r="L33" s="9">
        <f>IF(AND($H33="",OR($G33="",$I33="")),"",ROUND(((IF($H33="",$I33-$G33,$H33))-(MIN(IF($J33="",0,$J33),(IF($H33="",$I33-$G33,$H33))/2)))*(IF($K33="",'تنظیمات'!$B$2,$K33))/100,0))</f>
        <v/>
      </c>
      <c r="P33" s="10" t="n"/>
    </row>
    <row r="34">
      <c r="F34" s="6" t="n"/>
      <c r="G34" s="7" t="n"/>
      <c r="H34" s="7" t="n"/>
      <c r="I34" s="7" t="n"/>
      <c r="J34" s="7" t="n"/>
      <c r="K34" s="8" t="n"/>
      <c r="L34" s="9">
        <f>IF(AND($H34="",OR($G34="",$I34="")),"",ROUND(((IF($H34="",$I34-$G34,$H34))-(MIN(IF($J34="",0,$J34),(IF($H34="",$I34-$G34,$H34))/2)))*(IF($K34="",'تنظیمات'!$B$2,$K34))/100,0))</f>
        <v/>
      </c>
      <c r="P34" s="10" t="n"/>
    </row>
    <row r="35">
      <c r="F35" s="6" t="n"/>
      <c r="G35" s="7" t="n"/>
      <c r="H35" s="7" t="n"/>
      <c r="I35" s="7" t="n"/>
      <c r="J35" s="7" t="n"/>
      <c r="K35" s="8" t="n"/>
      <c r="L35" s="9">
        <f>IF(AND($H35="",OR($G35="",$I35="")),"",ROUND(((IF($H35="",$I35-$G35,$H35))-(MIN(IF($J35="",0,$J35),(IF($H35="",$I35-$G35,$H35))/2)))*(IF($K35="",'تنظیمات'!$B$2,$K35))/100,0))</f>
        <v/>
      </c>
      <c r="P35" s="10" t="n"/>
    </row>
    <row r="36">
      <c r="F36" s="6" t="n"/>
      <c r="G36" s="7" t="n"/>
      <c r="H36" s="7" t="n"/>
      <c r="I36" s="7" t="n"/>
      <c r="J36" s="7" t="n"/>
      <c r="K36" s="8" t="n"/>
      <c r="L36" s="9">
        <f>IF(AND($H36="",OR($G36="",$I36="")),"",ROUND(((IF($H36="",$I36-$G36,$H36))-(MIN(IF($J36="",0,$J36),(IF($H36="",$I36-$G36,$H36))/2)))*(IF($K36="",'تنظیمات'!$B$2,$K36))/100,0))</f>
        <v/>
      </c>
      <c r="P36" s="10" t="n"/>
    </row>
    <row r="37">
      <c r="F37" s="6" t="n"/>
      <c r="G37" s="7" t="n"/>
      <c r="H37" s="7" t="n"/>
      <c r="I37" s="7" t="n"/>
      <c r="J37" s="7" t="n"/>
      <c r="K37" s="8" t="n"/>
      <c r="L37" s="9">
        <f>IF(AND($H37="",OR($G37="",$I37="")),"",ROUND(((IF($H37="",$I37-$G37,$H37))-(MIN(IF($J37="",0,$J37),(IF($H37="",$I37-$G37,$H37))/2)))*(IF($K37="",'تنظیمات'!$B$2,$K37))/100,0))</f>
        <v/>
      </c>
      <c r="P37" s="10" t="n"/>
    </row>
    <row r="38">
      <c r="F38" s="6" t="n"/>
      <c r="G38" s="7" t="n"/>
      <c r="H38" s="7" t="n"/>
      <c r="I38" s="7" t="n"/>
      <c r="J38" s="7" t="n"/>
      <c r="K38" s="8" t="n"/>
      <c r="L38" s="9">
        <f>IF(AND($H38="",OR($G38="",$I38="")),"",ROUND(((IF($H38="",$I38-$G38,$H38))-(MIN(IF($J38="",0,$J38),(IF($H38="",$I38-$G38,$H38))/2)))*(IF($K38="",'تنظیمات'!$B$2,$K38))/100,0))</f>
        <v/>
      </c>
      <c r="P38" s="10" t="n"/>
    </row>
    <row r="39">
      <c r="F39" s="6" t="n"/>
      <c r="G39" s="7" t="n"/>
      <c r="H39" s="7" t="n"/>
      <c r="I39" s="7" t="n"/>
      <c r="J39" s="7" t="n"/>
      <c r="K39" s="8" t="n"/>
      <c r="L39" s="9">
        <f>IF(AND($H39="",OR($G39="",$I39="")),"",ROUND(((IF($H39="",$I39-$G39,$H39))-(MIN(IF($J39="",0,$J39),(IF($H39="",$I39-$G39,$H39))/2)))*(IF($K39="",'تنظیمات'!$B$2,$K39))/100,0))</f>
        <v/>
      </c>
      <c r="P39" s="10" t="n"/>
    </row>
    <row r="40">
      <c r="F40" s="6" t="n"/>
      <c r="G40" s="7" t="n"/>
      <c r="H40" s="7" t="n"/>
      <c r="I40" s="7" t="n"/>
      <c r="J40" s="7" t="n"/>
      <c r="K40" s="8" t="n"/>
      <c r="L40" s="9">
        <f>IF(AND($H40="",OR($G40="",$I40="")),"",ROUND(((IF($H40="",$I40-$G40,$H40))-(MIN(IF($J40="",0,$J40),(IF($H40="",$I40-$G40,$H40))/2)))*(IF($K40="",'تنظیمات'!$B$2,$K40))/100,0))</f>
        <v/>
      </c>
      <c r="P40" s="10" t="n"/>
    </row>
    <row r="41">
      <c r="F41" s="6" t="n"/>
      <c r="G41" s="7" t="n"/>
      <c r="H41" s="7" t="n"/>
      <c r="I41" s="7" t="n"/>
      <c r="J41" s="7" t="n"/>
      <c r="K41" s="8" t="n"/>
      <c r="L41" s="9">
        <f>IF(AND($H41="",OR($G41="",$I41="")),"",ROUND(((IF($H41="",$I41-$G41,$H41))-(MIN(IF($J41="",0,$J41),(IF($H41="",$I41-$G41,$H41))/2)))*(IF($K41="",'تنظیمات'!$B$2,$K41))/100,0))</f>
        <v/>
      </c>
      <c r="P41" s="10" t="n"/>
    </row>
    <row r="42">
      <c r="F42" s="6" t="n"/>
      <c r="G42" s="7" t="n"/>
      <c r="H42" s="7" t="n"/>
      <c r="I42" s="7" t="n"/>
      <c r="J42" s="7" t="n"/>
      <c r="K42" s="8" t="n"/>
      <c r="L42" s="9">
        <f>IF(AND($H42="",OR($G42="",$I42="")),"",ROUND(((IF($H42="",$I42-$G42,$H42))-(MIN(IF($J42="",0,$J42),(IF($H42="",$I42-$G42,$H42))/2)))*(IF($K42="",'تنظیمات'!$B$2,$K42))/100,0))</f>
        <v/>
      </c>
      <c r="P42" s="10" t="n"/>
    </row>
    <row r="43">
      <c r="F43" s="6" t="n"/>
      <c r="G43" s="7" t="n"/>
      <c r="H43" s="7" t="n"/>
      <c r="I43" s="7" t="n"/>
      <c r="J43" s="7" t="n"/>
      <c r="K43" s="8" t="n"/>
      <c r="L43" s="9">
        <f>IF(AND($H43="",OR($G43="",$I43="")),"",ROUND(((IF($H43="",$I43-$G43,$H43))-(MIN(IF($J43="",0,$J43),(IF($H43="",$I43-$G43,$H43))/2)))*(IF($K43="",'تنظیمات'!$B$2,$K43))/100,0))</f>
        <v/>
      </c>
      <c r="P43" s="10" t="n"/>
    </row>
    <row r="44">
      <c r="F44" s="6" t="n"/>
      <c r="G44" s="7" t="n"/>
      <c r="H44" s="7" t="n"/>
      <c r="I44" s="7" t="n"/>
      <c r="J44" s="7" t="n"/>
      <c r="K44" s="8" t="n"/>
      <c r="L44" s="9">
        <f>IF(AND($H44="",OR($G44="",$I44="")),"",ROUND(((IF($H44="",$I44-$G44,$H44))-(MIN(IF($J44="",0,$J44),(IF($H44="",$I44-$G44,$H44))/2)))*(IF($K44="",'تنظیمات'!$B$2,$K44))/100,0))</f>
        <v/>
      </c>
      <c r="P44" s="10" t="n"/>
    </row>
    <row r="45">
      <c r="F45" s="6" t="n"/>
      <c r="G45" s="7" t="n"/>
      <c r="H45" s="7" t="n"/>
      <c r="I45" s="7" t="n"/>
      <c r="J45" s="7" t="n"/>
      <c r="K45" s="8" t="n"/>
      <c r="L45" s="9">
        <f>IF(AND($H45="",OR($G45="",$I45="")),"",ROUND(((IF($H45="",$I45-$G45,$H45))-(MIN(IF($J45="",0,$J45),(IF($H45="",$I45-$G45,$H45))/2)))*(IF($K45="",'تنظیمات'!$B$2,$K45))/100,0))</f>
        <v/>
      </c>
      <c r="P45" s="10" t="n"/>
    </row>
    <row r="46">
      <c r="F46" s="6" t="n"/>
      <c r="G46" s="7" t="n"/>
      <c r="H46" s="7" t="n"/>
      <c r="I46" s="7" t="n"/>
      <c r="J46" s="7" t="n"/>
      <c r="K46" s="8" t="n"/>
      <c r="L46" s="9">
        <f>IF(AND($H46="",OR($G46="",$I46="")),"",ROUND(((IF($H46="",$I46-$G46,$H46))-(MIN(IF($J46="",0,$J46),(IF($H46="",$I46-$G46,$H46))/2)))*(IF($K46="",'تنظیمات'!$B$2,$K46))/100,0))</f>
        <v/>
      </c>
      <c r="P46" s="10" t="n"/>
    </row>
    <row r="47">
      <c r="F47" s="6" t="n"/>
      <c r="G47" s="7" t="n"/>
      <c r="H47" s="7" t="n"/>
      <c r="I47" s="7" t="n"/>
      <c r="J47" s="7" t="n"/>
      <c r="K47" s="8" t="n"/>
      <c r="L47" s="9">
        <f>IF(AND($H47="",OR($G47="",$I47="")),"",ROUND(((IF($H47="",$I47-$G47,$H47))-(MIN(IF($J47="",0,$J47),(IF($H47="",$I47-$G47,$H47))/2)))*(IF($K47="",'تنظیمات'!$B$2,$K47))/100,0))</f>
        <v/>
      </c>
      <c r="P47" s="10" t="n"/>
    </row>
    <row r="48">
      <c r="F48" s="6" t="n"/>
      <c r="G48" s="7" t="n"/>
      <c r="H48" s="7" t="n"/>
      <c r="I48" s="7" t="n"/>
      <c r="J48" s="7" t="n"/>
      <c r="K48" s="8" t="n"/>
      <c r="L48" s="9">
        <f>IF(AND($H48="",OR($G48="",$I48="")),"",ROUND(((IF($H48="",$I48-$G48,$H48))-(MIN(IF($J48="",0,$J48),(IF($H48="",$I48-$G48,$H48))/2)))*(IF($K48="",'تنظیمات'!$B$2,$K48))/100,0))</f>
        <v/>
      </c>
      <c r="P48" s="10" t="n"/>
    </row>
    <row r="49">
      <c r="F49" s="6" t="n"/>
      <c r="G49" s="7" t="n"/>
      <c r="H49" s="7" t="n"/>
      <c r="I49" s="7" t="n"/>
      <c r="J49" s="7" t="n"/>
      <c r="K49" s="8" t="n"/>
      <c r="L49" s="9">
        <f>IF(AND($H49="",OR($G49="",$I49="")),"",ROUND(((IF($H49="",$I49-$G49,$H49))-(MIN(IF($J49="",0,$J49),(IF($H49="",$I49-$G49,$H49))/2)))*(IF($K49="",'تنظیمات'!$B$2,$K49))/100,0))</f>
        <v/>
      </c>
      <c r="P49" s="10" t="n"/>
    </row>
    <row r="50">
      <c r="F50" s="6" t="n"/>
      <c r="G50" s="7" t="n"/>
      <c r="H50" s="7" t="n"/>
      <c r="I50" s="7" t="n"/>
      <c r="J50" s="7" t="n"/>
      <c r="K50" s="8" t="n"/>
      <c r="L50" s="9">
        <f>IF(AND($H50="",OR($G50="",$I50="")),"",ROUND(((IF($H50="",$I50-$G50,$H50))-(MIN(IF($J50="",0,$J50),(IF($H50="",$I50-$G50,$H50))/2)))*(IF($K50="",'تنظیمات'!$B$2,$K50))/100,0))</f>
        <v/>
      </c>
      <c r="P50" s="10" t="n"/>
    </row>
    <row r="51">
      <c r="F51" s="6" t="n"/>
      <c r="G51" s="7" t="n"/>
      <c r="H51" s="7" t="n"/>
      <c r="I51" s="7" t="n"/>
      <c r="J51" s="7" t="n"/>
      <c r="K51" s="8" t="n"/>
      <c r="L51" s="9">
        <f>IF(AND($H51="",OR($G51="",$I51="")),"",ROUND(((IF($H51="",$I51-$G51,$H51))-(MIN(IF($J51="",0,$J51),(IF($H51="",$I51-$G51,$H51))/2)))*(IF($K51="",'تنظیمات'!$B$2,$K51))/100,0))</f>
        <v/>
      </c>
      <c r="P51" s="10" t="n"/>
    </row>
    <row r="52">
      <c r="F52" s="6" t="n"/>
      <c r="G52" s="7" t="n"/>
      <c r="H52" s="7" t="n"/>
      <c r="I52" s="7" t="n"/>
      <c r="J52" s="7" t="n"/>
      <c r="K52" s="8" t="n"/>
      <c r="L52" s="9">
        <f>IF(AND($H52="",OR($G52="",$I52="")),"",ROUND(((IF($H52="",$I52-$G52,$H52))-(MIN(IF($J52="",0,$J52),(IF($H52="",$I52-$G52,$H52))/2)))*(IF($K52="",'تنظیمات'!$B$2,$K52))/100,0))</f>
        <v/>
      </c>
      <c r="P52" s="10" t="n"/>
    </row>
    <row r="53">
      <c r="F53" s="6" t="n"/>
      <c r="G53" s="7" t="n"/>
      <c r="H53" s="7" t="n"/>
      <c r="I53" s="7" t="n"/>
      <c r="J53" s="7" t="n"/>
      <c r="K53" s="8" t="n"/>
      <c r="L53" s="9">
        <f>IF(AND($H53="",OR($G53="",$I53="")),"",ROUND(((IF($H53="",$I53-$G53,$H53))-(MIN(IF($J53="",0,$J53),(IF($H53="",$I53-$G53,$H53))/2)))*(IF($K53="",'تنظیمات'!$B$2,$K53))/100,0))</f>
        <v/>
      </c>
      <c r="P53" s="10" t="n"/>
    </row>
    <row r="54">
      <c r="F54" s="6" t="n"/>
      <c r="G54" s="7" t="n"/>
      <c r="H54" s="7" t="n"/>
      <c r="I54" s="7" t="n"/>
      <c r="J54" s="7" t="n"/>
      <c r="K54" s="8" t="n"/>
      <c r="L54" s="9">
        <f>IF(AND($H54="",OR($G54="",$I54="")),"",ROUND(((IF($H54="",$I54-$G54,$H54))-(MIN(IF($J54="",0,$J54),(IF($H54="",$I54-$G54,$H54))/2)))*(IF($K54="",'تنظیمات'!$B$2,$K54))/100,0))</f>
        <v/>
      </c>
      <c r="P54" s="10" t="n"/>
    </row>
    <row r="55">
      <c r="F55" s="6" t="n"/>
      <c r="G55" s="7" t="n"/>
      <c r="H55" s="7" t="n"/>
      <c r="I55" s="7" t="n"/>
      <c r="J55" s="7" t="n"/>
      <c r="K55" s="8" t="n"/>
      <c r="L55" s="9">
        <f>IF(AND($H55="",OR($G55="",$I55="")),"",ROUND(((IF($H55="",$I55-$G55,$H55))-(MIN(IF($J55="",0,$J55),(IF($H55="",$I55-$G55,$H55))/2)))*(IF($K55="",'تنظیمات'!$B$2,$K55))/100,0))</f>
        <v/>
      </c>
      <c r="P55" s="10" t="n"/>
    </row>
    <row r="56">
      <c r="F56" s="6" t="n"/>
      <c r="G56" s="7" t="n"/>
      <c r="H56" s="7" t="n"/>
      <c r="I56" s="7" t="n"/>
      <c r="J56" s="7" t="n"/>
      <c r="K56" s="8" t="n"/>
      <c r="L56" s="9">
        <f>IF(AND($H56="",OR($G56="",$I56="")),"",ROUND(((IF($H56="",$I56-$G56,$H56))-(MIN(IF($J56="",0,$J56),(IF($H56="",$I56-$G56,$H56))/2)))*(IF($K56="",'تنظیمات'!$B$2,$K56))/100,0))</f>
        <v/>
      </c>
      <c r="P56" s="10" t="n"/>
    </row>
    <row r="57">
      <c r="F57" s="6" t="n"/>
      <c r="G57" s="7" t="n"/>
      <c r="H57" s="7" t="n"/>
      <c r="I57" s="7" t="n"/>
      <c r="J57" s="7" t="n"/>
      <c r="K57" s="8" t="n"/>
      <c r="L57" s="9">
        <f>IF(AND($H57="",OR($G57="",$I57="")),"",ROUND(((IF($H57="",$I57-$G57,$H57))-(MIN(IF($J57="",0,$J57),(IF($H57="",$I57-$G57,$H57))/2)))*(IF($K57="",'تنظیمات'!$B$2,$K57))/100,0))</f>
        <v/>
      </c>
      <c r="P57" s="10" t="n"/>
    </row>
    <row r="58">
      <c r="F58" s="6" t="n"/>
      <c r="G58" s="7" t="n"/>
      <c r="H58" s="7" t="n"/>
      <c r="I58" s="7" t="n"/>
      <c r="J58" s="7" t="n"/>
      <c r="K58" s="8" t="n"/>
      <c r="L58" s="9">
        <f>IF(AND($H58="",OR($G58="",$I58="")),"",ROUND(((IF($H58="",$I58-$G58,$H58))-(MIN(IF($J58="",0,$J58),(IF($H58="",$I58-$G58,$H58))/2)))*(IF($K58="",'تنظیمات'!$B$2,$K58))/100,0))</f>
        <v/>
      </c>
      <c r="P58" s="10" t="n"/>
    </row>
    <row r="59">
      <c r="F59" s="6" t="n"/>
      <c r="G59" s="7" t="n"/>
      <c r="H59" s="7" t="n"/>
      <c r="I59" s="7" t="n"/>
      <c r="J59" s="7" t="n"/>
      <c r="K59" s="8" t="n"/>
      <c r="L59" s="9">
        <f>IF(AND($H59="",OR($G59="",$I59="")),"",ROUND(((IF($H59="",$I59-$G59,$H59))-(MIN(IF($J59="",0,$J59),(IF($H59="",$I59-$G59,$H59))/2)))*(IF($K59="",'تنظیمات'!$B$2,$K59))/100,0))</f>
        <v/>
      </c>
      <c r="P59" s="10" t="n"/>
    </row>
    <row r="60">
      <c r="F60" s="6" t="n"/>
      <c r="G60" s="7" t="n"/>
      <c r="H60" s="7" t="n"/>
      <c r="I60" s="7" t="n"/>
      <c r="J60" s="7" t="n"/>
      <c r="K60" s="8" t="n"/>
      <c r="L60" s="9">
        <f>IF(AND($H60="",OR($G60="",$I60="")),"",ROUND(((IF($H60="",$I60-$G60,$H60))-(MIN(IF($J60="",0,$J60),(IF($H60="",$I60-$G60,$H60))/2)))*(IF($K60="",'تنظیمات'!$B$2,$K60))/100,0))</f>
        <v/>
      </c>
      <c r="P60" s="10" t="n"/>
    </row>
    <row r="61">
      <c r="F61" s="6" t="n"/>
      <c r="G61" s="7" t="n"/>
      <c r="H61" s="7" t="n"/>
      <c r="I61" s="7" t="n"/>
      <c r="J61" s="7" t="n"/>
      <c r="K61" s="8" t="n"/>
      <c r="L61" s="9">
        <f>IF(AND($H61="",OR($G61="",$I61="")),"",ROUND(((IF($H61="",$I61-$G61,$H61))-(MIN(IF($J61="",0,$J61),(IF($H61="",$I61-$G61,$H61))/2)))*(IF($K61="",'تنظیمات'!$B$2,$K61))/100,0))</f>
        <v/>
      </c>
      <c r="P61" s="10" t="n"/>
    </row>
    <row r="62">
      <c r="F62" s="6" t="n"/>
      <c r="G62" s="7" t="n"/>
      <c r="H62" s="7" t="n"/>
      <c r="I62" s="7" t="n"/>
      <c r="J62" s="7" t="n"/>
      <c r="K62" s="8" t="n"/>
      <c r="L62" s="9">
        <f>IF(AND($H62="",OR($G62="",$I62="")),"",ROUND(((IF($H62="",$I62-$G62,$H62))-(MIN(IF($J62="",0,$J62),(IF($H62="",$I62-$G62,$H62))/2)))*(IF($K62="",'تنظیمات'!$B$2,$K62))/100,0))</f>
        <v/>
      </c>
      <c r="P62" s="10" t="n"/>
    </row>
    <row r="63">
      <c r="F63" s="6" t="n"/>
      <c r="G63" s="7" t="n"/>
      <c r="H63" s="7" t="n"/>
      <c r="I63" s="7" t="n"/>
      <c r="J63" s="7" t="n"/>
      <c r="K63" s="8" t="n"/>
      <c r="L63" s="9">
        <f>IF(AND($H63="",OR($G63="",$I63="")),"",ROUND(((IF($H63="",$I63-$G63,$H63))-(MIN(IF($J63="",0,$J63),(IF($H63="",$I63-$G63,$H63))/2)))*(IF($K63="",'تنظیمات'!$B$2,$K63))/100,0))</f>
        <v/>
      </c>
      <c r="P63" s="10" t="n"/>
    </row>
    <row r="64">
      <c r="F64" s="6" t="n"/>
      <c r="G64" s="7" t="n"/>
      <c r="H64" s="7" t="n"/>
      <c r="I64" s="7" t="n"/>
      <c r="J64" s="7" t="n"/>
      <c r="K64" s="8" t="n"/>
      <c r="L64" s="9">
        <f>IF(AND($H64="",OR($G64="",$I64="")),"",ROUND(((IF($H64="",$I64-$G64,$H64))-(MIN(IF($J64="",0,$J64),(IF($H64="",$I64-$G64,$H64))/2)))*(IF($K64="",'تنظیمات'!$B$2,$K64))/100,0))</f>
        <v/>
      </c>
      <c r="P64" s="10" t="n"/>
    </row>
    <row r="65">
      <c r="F65" s="6" t="n"/>
      <c r="G65" s="7" t="n"/>
      <c r="H65" s="7" t="n"/>
      <c r="I65" s="7" t="n"/>
      <c r="J65" s="7" t="n"/>
      <c r="K65" s="8" t="n"/>
      <c r="L65" s="9">
        <f>IF(AND($H65="",OR($G65="",$I65="")),"",ROUND(((IF($H65="",$I65-$G65,$H65))-(MIN(IF($J65="",0,$J65),(IF($H65="",$I65-$G65,$H65))/2)))*(IF($K65="",'تنظیمات'!$B$2,$K65))/100,0))</f>
        <v/>
      </c>
      <c r="P65" s="10" t="n"/>
    </row>
    <row r="66">
      <c r="F66" s="6" t="n"/>
      <c r="G66" s="7" t="n"/>
      <c r="H66" s="7" t="n"/>
      <c r="I66" s="7" t="n"/>
      <c r="J66" s="7" t="n"/>
      <c r="K66" s="8" t="n"/>
      <c r="L66" s="9">
        <f>IF(AND($H66="",OR($G66="",$I66="")),"",ROUND(((IF($H66="",$I66-$G66,$H66))-(MIN(IF($J66="",0,$J66),(IF($H66="",$I66-$G66,$H66))/2)))*(IF($K66="",'تنظیمات'!$B$2,$K66))/100,0))</f>
        <v/>
      </c>
      <c r="P66" s="10" t="n"/>
    </row>
    <row r="67">
      <c r="F67" s="6" t="n"/>
      <c r="G67" s="7" t="n"/>
      <c r="H67" s="7" t="n"/>
      <c r="I67" s="7" t="n"/>
      <c r="J67" s="7" t="n"/>
      <c r="K67" s="8" t="n"/>
      <c r="L67" s="9">
        <f>IF(AND($H67="",OR($G67="",$I67="")),"",ROUND(((IF($H67="",$I67-$G67,$H67))-(MIN(IF($J67="",0,$J67),(IF($H67="",$I67-$G67,$H67))/2)))*(IF($K67="",'تنظیمات'!$B$2,$K67))/100,0))</f>
        <v/>
      </c>
      <c r="P67" s="10" t="n"/>
    </row>
    <row r="68">
      <c r="F68" s="6" t="n"/>
      <c r="G68" s="7" t="n"/>
      <c r="H68" s="7" t="n"/>
      <c r="I68" s="7" t="n"/>
      <c r="J68" s="7" t="n"/>
      <c r="K68" s="8" t="n"/>
      <c r="L68" s="9">
        <f>IF(AND($H68="",OR($G68="",$I68="")),"",ROUND(((IF($H68="",$I68-$G68,$H68))-(MIN(IF($J68="",0,$J68),(IF($H68="",$I68-$G68,$H68))/2)))*(IF($K68="",'تنظیمات'!$B$2,$K68))/100,0))</f>
        <v/>
      </c>
      <c r="P68" s="10" t="n"/>
    </row>
    <row r="69">
      <c r="F69" s="6" t="n"/>
      <c r="G69" s="7" t="n"/>
      <c r="H69" s="7" t="n"/>
      <c r="I69" s="7" t="n"/>
      <c r="J69" s="7" t="n"/>
      <c r="K69" s="8" t="n"/>
      <c r="L69" s="9">
        <f>IF(AND($H69="",OR($G69="",$I69="")),"",ROUND(((IF($H69="",$I69-$G69,$H69))-(MIN(IF($J69="",0,$J69),(IF($H69="",$I69-$G69,$H69))/2)))*(IF($K69="",'تنظیمات'!$B$2,$K69))/100,0))</f>
        <v/>
      </c>
      <c r="P69" s="10" t="n"/>
    </row>
    <row r="70">
      <c r="F70" s="6" t="n"/>
      <c r="G70" s="7" t="n"/>
      <c r="H70" s="7" t="n"/>
      <c r="I70" s="7" t="n"/>
      <c r="J70" s="7" t="n"/>
      <c r="K70" s="8" t="n"/>
      <c r="L70" s="9">
        <f>IF(AND($H70="",OR($G70="",$I70="")),"",ROUND(((IF($H70="",$I70-$G70,$H70))-(MIN(IF($J70="",0,$J70),(IF($H70="",$I70-$G70,$H70))/2)))*(IF($K70="",'تنظیمات'!$B$2,$K70))/100,0))</f>
        <v/>
      </c>
      <c r="P70" s="10" t="n"/>
    </row>
    <row r="71">
      <c r="F71" s="6" t="n"/>
      <c r="G71" s="7" t="n"/>
      <c r="H71" s="7" t="n"/>
      <c r="I71" s="7" t="n"/>
      <c r="J71" s="7" t="n"/>
      <c r="K71" s="8" t="n"/>
      <c r="L71" s="9">
        <f>IF(AND($H71="",OR($G71="",$I71="")),"",ROUND(((IF($H71="",$I71-$G71,$H71))-(MIN(IF($J71="",0,$J71),(IF($H71="",$I71-$G71,$H71))/2)))*(IF($K71="",'تنظیمات'!$B$2,$K71))/100,0))</f>
        <v/>
      </c>
      <c r="P71" s="10" t="n"/>
    </row>
    <row r="72">
      <c r="F72" s="6" t="n"/>
      <c r="G72" s="7" t="n"/>
      <c r="H72" s="7" t="n"/>
      <c r="I72" s="7" t="n"/>
      <c r="J72" s="7" t="n"/>
      <c r="K72" s="8" t="n"/>
      <c r="L72" s="9">
        <f>IF(AND($H72="",OR($G72="",$I72="")),"",ROUND(((IF($H72="",$I72-$G72,$H72))-(MIN(IF($J72="",0,$J72),(IF($H72="",$I72-$G72,$H72))/2)))*(IF($K72="",'تنظیمات'!$B$2,$K72))/100,0))</f>
        <v/>
      </c>
      <c r="P72" s="10" t="n"/>
    </row>
    <row r="73">
      <c r="F73" s="6" t="n"/>
      <c r="G73" s="7" t="n"/>
      <c r="H73" s="7" t="n"/>
      <c r="I73" s="7" t="n"/>
      <c r="J73" s="7" t="n"/>
      <c r="K73" s="8" t="n"/>
      <c r="L73" s="9">
        <f>IF(AND($H73="",OR($G73="",$I73="")),"",ROUND(((IF($H73="",$I73-$G73,$H73))-(MIN(IF($J73="",0,$J73),(IF($H73="",$I73-$G73,$H73))/2)))*(IF($K73="",'تنظیمات'!$B$2,$K73))/100,0))</f>
        <v/>
      </c>
      <c r="P73" s="10" t="n"/>
    </row>
    <row r="74">
      <c r="F74" s="6" t="n"/>
      <c r="G74" s="7" t="n"/>
      <c r="H74" s="7" t="n"/>
      <c r="I74" s="7" t="n"/>
      <c r="J74" s="7" t="n"/>
      <c r="K74" s="8" t="n"/>
      <c r="L74" s="9">
        <f>IF(AND($H74="",OR($G74="",$I74="")),"",ROUND(((IF($H74="",$I74-$G74,$H74))-(MIN(IF($J74="",0,$J74),(IF($H74="",$I74-$G74,$H74))/2)))*(IF($K74="",'تنظیمات'!$B$2,$K74))/100,0))</f>
        <v/>
      </c>
      <c r="P74" s="10" t="n"/>
    </row>
    <row r="75">
      <c r="F75" s="6" t="n"/>
      <c r="G75" s="7" t="n"/>
      <c r="H75" s="7" t="n"/>
      <c r="I75" s="7" t="n"/>
      <c r="J75" s="7" t="n"/>
      <c r="K75" s="8" t="n"/>
      <c r="L75" s="9">
        <f>IF(AND($H75="",OR($G75="",$I75="")),"",ROUND(((IF($H75="",$I75-$G75,$H75))-(MIN(IF($J75="",0,$J75),(IF($H75="",$I75-$G75,$H75))/2)))*(IF($K75="",'تنظیمات'!$B$2,$K75))/100,0))</f>
        <v/>
      </c>
      <c r="P75" s="10" t="n"/>
    </row>
    <row r="76">
      <c r="F76" s="6" t="n"/>
      <c r="G76" s="7" t="n"/>
      <c r="H76" s="7" t="n"/>
      <c r="I76" s="7" t="n"/>
      <c r="J76" s="7" t="n"/>
      <c r="K76" s="8" t="n"/>
      <c r="L76" s="9">
        <f>IF(AND($H76="",OR($G76="",$I76="")),"",ROUND(((IF($H76="",$I76-$G76,$H76))-(MIN(IF($J76="",0,$J76),(IF($H76="",$I76-$G76,$H76))/2)))*(IF($K76="",'تنظیمات'!$B$2,$K76))/100,0))</f>
        <v/>
      </c>
      <c r="P76" s="10" t="n"/>
    </row>
    <row r="77">
      <c r="F77" s="6" t="n"/>
      <c r="G77" s="7" t="n"/>
      <c r="H77" s="7" t="n"/>
      <c r="I77" s="7" t="n"/>
      <c r="J77" s="7" t="n"/>
      <c r="K77" s="8" t="n"/>
      <c r="L77" s="9">
        <f>IF(AND($H77="",OR($G77="",$I77="")),"",ROUND(((IF($H77="",$I77-$G77,$H77))-(MIN(IF($J77="",0,$J77),(IF($H77="",$I77-$G77,$H77))/2)))*(IF($K77="",'تنظیمات'!$B$2,$K77))/100,0))</f>
        <v/>
      </c>
      <c r="P77" s="10" t="n"/>
    </row>
    <row r="78">
      <c r="F78" s="6" t="n"/>
      <c r="G78" s="7" t="n"/>
      <c r="H78" s="7" t="n"/>
      <c r="I78" s="7" t="n"/>
      <c r="J78" s="7" t="n"/>
      <c r="K78" s="8" t="n"/>
      <c r="L78" s="9">
        <f>IF(AND($H78="",OR($G78="",$I78="")),"",ROUND(((IF($H78="",$I78-$G78,$H78))-(MIN(IF($J78="",0,$J78),(IF($H78="",$I78-$G78,$H78))/2)))*(IF($K78="",'تنظیمات'!$B$2,$K78))/100,0))</f>
        <v/>
      </c>
      <c r="P78" s="10" t="n"/>
    </row>
    <row r="79">
      <c r="F79" s="6" t="n"/>
      <c r="G79" s="7" t="n"/>
      <c r="H79" s="7" t="n"/>
      <c r="I79" s="7" t="n"/>
      <c r="J79" s="7" t="n"/>
      <c r="K79" s="8" t="n"/>
      <c r="L79" s="9">
        <f>IF(AND($H79="",OR($G79="",$I79="")),"",ROUND(((IF($H79="",$I79-$G79,$H79))-(MIN(IF($J79="",0,$J79),(IF($H79="",$I79-$G79,$H79))/2)))*(IF($K79="",'تنظیمات'!$B$2,$K79))/100,0))</f>
        <v/>
      </c>
      <c r="P79" s="10" t="n"/>
    </row>
    <row r="80">
      <c r="F80" s="6" t="n"/>
      <c r="G80" s="7" t="n"/>
      <c r="H80" s="7" t="n"/>
      <c r="I80" s="7" t="n"/>
      <c r="J80" s="7" t="n"/>
      <c r="K80" s="8" t="n"/>
      <c r="L80" s="9">
        <f>IF(AND($H80="",OR($G80="",$I80="")),"",ROUND(((IF($H80="",$I80-$G80,$H80))-(MIN(IF($J80="",0,$J80),(IF($H80="",$I80-$G80,$H80))/2)))*(IF($K80="",'تنظیمات'!$B$2,$K80))/100,0))</f>
        <v/>
      </c>
      <c r="P80" s="10" t="n"/>
    </row>
    <row r="81">
      <c r="F81" s="6" t="n"/>
      <c r="G81" s="7" t="n"/>
      <c r="H81" s="7" t="n"/>
      <c r="I81" s="7" t="n"/>
      <c r="J81" s="7" t="n"/>
      <c r="K81" s="8" t="n"/>
      <c r="L81" s="9">
        <f>IF(AND($H81="",OR($G81="",$I81="")),"",ROUND(((IF($H81="",$I81-$G81,$H81))-(MIN(IF($J81="",0,$J81),(IF($H81="",$I81-$G81,$H81))/2)))*(IF($K81="",'تنظیمات'!$B$2,$K81))/100,0))</f>
        <v/>
      </c>
      <c r="P81" s="10" t="n"/>
    </row>
    <row r="82">
      <c r="F82" s="6" t="n"/>
      <c r="G82" s="7" t="n"/>
      <c r="H82" s="7" t="n"/>
      <c r="I82" s="7" t="n"/>
      <c r="J82" s="7" t="n"/>
      <c r="K82" s="8" t="n"/>
      <c r="L82" s="9">
        <f>IF(AND($H82="",OR($G82="",$I82="")),"",ROUND(((IF($H82="",$I82-$G82,$H82))-(MIN(IF($J82="",0,$J82),(IF($H82="",$I82-$G82,$H82))/2)))*(IF($K82="",'تنظیمات'!$B$2,$K82))/100,0))</f>
        <v/>
      </c>
      <c r="P82" s="10" t="n"/>
    </row>
    <row r="83">
      <c r="F83" s="6" t="n"/>
      <c r="G83" s="7" t="n"/>
      <c r="H83" s="7" t="n"/>
      <c r="I83" s="7" t="n"/>
      <c r="J83" s="7" t="n"/>
      <c r="K83" s="8" t="n"/>
      <c r="L83" s="9">
        <f>IF(AND($H83="",OR($G83="",$I83="")),"",ROUND(((IF($H83="",$I83-$G83,$H83))-(MIN(IF($J83="",0,$J83),(IF($H83="",$I83-$G83,$H83))/2)))*(IF($K83="",'تنظیمات'!$B$2,$K83))/100,0))</f>
        <v/>
      </c>
      <c r="P83" s="10" t="n"/>
    </row>
    <row r="84">
      <c r="F84" s="6" t="n"/>
      <c r="G84" s="7" t="n"/>
      <c r="H84" s="7" t="n"/>
      <c r="I84" s="7" t="n"/>
      <c r="J84" s="7" t="n"/>
      <c r="K84" s="8" t="n"/>
      <c r="L84" s="9">
        <f>IF(AND($H84="",OR($G84="",$I84="")),"",ROUND(((IF($H84="",$I84-$G84,$H84))-(MIN(IF($J84="",0,$J84),(IF($H84="",$I84-$G84,$H84))/2)))*(IF($K84="",'تنظیمات'!$B$2,$K84))/100,0))</f>
        <v/>
      </c>
      <c r="P84" s="10" t="n"/>
    </row>
    <row r="85">
      <c r="F85" s="6" t="n"/>
      <c r="G85" s="7" t="n"/>
      <c r="H85" s="7" t="n"/>
      <c r="I85" s="7" t="n"/>
      <c r="J85" s="7" t="n"/>
      <c r="K85" s="8" t="n"/>
      <c r="L85" s="9">
        <f>IF(AND($H85="",OR($G85="",$I85="")),"",ROUND(((IF($H85="",$I85-$G85,$H85))-(MIN(IF($J85="",0,$J85),(IF($H85="",$I85-$G85,$H85))/2)))*(IF($K85="",'تنظیمات'!$B$2,$K85))/100,0))</f>
        <v/>
      </c>
      <c r="P85" s="10" t="n"/>
    </row>
    <row r="86">
      <c r="F86" s="6" t="n"/>
      <c r="G86" s="7" t="n"/>
      <c r="H86" s="7" t="n"/>
      <c r="I86" s="7" t="n"/>
      <c r="J86" s="7" t="n"/>
      <c r="K86" s="8" t="n"/>
      <c r="L86" s="9">
        <f>IF(AND($H86="",OR($G86="",$I86="")),"",ROUND(((IF($H86="",$I86-$G86,$H86))-(MIN(IF($J86="",0,$J86),(IF($H86="",$I86-$G86,$H86))/2)))*(IF($K86="",'تنظیمات'!$B$2,$K86))/100,0))</f>
        <v/>
      </c>
      <c r="P86" s="10" t="n"/>
    </row>
    <row r="87">
      <c r="F87" s="6" t="n"/>
      <c r="G87" s="7" t="n"/>
      <c r="H87" s="7" t="n"/>
      <c r="I87" s="7" t="n"/>
      <c r="J87" s="7" t="n"/>
      <c r="K87" s="8" t="n"/>
      <c r="L87" s="9">
        <f>IF(AND($H87="",OR($G87="",$I87="")),"",ROUND(((IF($H87="",$I87-$G87,$H87))-(MIN(IF($J87="",0,$J87),(IF($H87="",$I87-$G87,$H87))/2)))*(IF($K87="",'تنظیمات'!$B$2,$K87))/100,0))</f>
        <v/>
      </c>
      <c r="P87" s="10" t="n"/>
    </row>
    <row r="88">
      <c r="F88" s="6" t="n"/>
      <c r="G88" s="7" t="n"/>
      <c r="H88" s="7" t="n"/>
      <c r="I88" s="7" t="n"/>
      <c r="J88" s="7" t="n"/>
      <c r="K88" s="8" t="n"/>
      <c r="L88" s="9">
        <f>IF(AND($H88="",OR($G88="",$I88="")),"",ROUND(((IF($H88="",$I88-$G88,$H88))-(MIN(IF($J88="",0,$J88),(IF($H88="",$I88-$G88,$H88))/2)))*(IF($K88="",'تنظیمات'!$B$2,$K88))/100,0))</f>
        <v/>
      </c>
      <c r="P88" s="10" t="n"/>
    </row>
    <row r="89">
      <c r="F89" s="6" t="n"/>
      <c r="G89" s="7" t="n"/>
      <c r="H89" s="7" t="n"/>
      <c r="I89" s="7" t="n"/>
      <c r="J89" s="7" t="n"/>
      <c r="K89" s="8" t="n"/>
      <c r="L89" s="9">
        <f>IF(AND($H89="",OR($G89="",$I89="")),"",ROUND(((IF($H89="",$I89-$G89,$H89))-(MIN(IF($J89="",0,$J89),(IF($H89="",$I89-$G89,$H89))/2)))*(IF($K89="",'تنظیمات'!$B$2,$K89))/100,0))</f>
        <v/>
      </c>
      <c r="P89" s="10" t="n"/>
    </row>
    <row r="90">
      <c r="F90" s="6" t="n"/>
      <c r="G90" s="7" t="n"/>
      <c r="H90" s="7" t="n"/>
      <c r="I90" s="7" t="n"/>
      <c r="J90" s="7" t="n"/>
      <c r="K90" s="8" t="n"/>
      <c r="L90" s="9">
        <f>IF(AND($H90="",OR($G90="",$I90="")),"",ROUND(((IF($H90="",$I90-$G90,$H90))-(MIN(IF($J90="",0,$J90),(IF($H90="",$I90-$G90,$H90))/2)))*(IF($K90="",'تنظیمات'!$B$2,$K90))/100,0))</f>
        <v/>
      </c>
      <c r="P90" s="10" t="n"/>
    </row>
    <row r="91">
      <c r="F91" s="6" t="n"/>
      <c r="G91" s="7" t="n"/>
      <c r="H91" s="7" t="n"/>
      <c r="I91" s="7" t="n"/>
      <c r="J91" s="7" t="n"/>
      <c r="K91" s="8" t="n"/>
      <c r="L91" s="9">
        <f>IF(AND($H91="",OR($G91="",$I91="")),"",ROUND(((IF($H91="",$I91-$G91,$H91))-(MIN(IF($J91="",0,$J91),(IF($H91="",$I91-$G91,$H91))/2)))*(IF($K91="",'تنظیمات'!$B$2,$K91))/100,0))</f>
        <v/>
      </c>
      <c r="P91" s="10" t="n"/>
    </row>
    <row r="92">
      <c r="F92" s="6" t="n"/>
      <c r="G92" s="7" t="n"/>
      <c r="H92" s="7" t="n"/>
      <c r="I92" s="7" t="n"/>
      <c r="J92" s="7" t="n"/>
      <c r="K92" s="8" t="n"/>
      <c r="L92" s="9">
        <f>IF(AND($H92="",OR($G92="",$I92="")),"",ROUND(((IF($H92="",$I92-$G92,$H92))-(MIN(IF($J92="",0,$J92),(IF($H92="",$I92-$G92,$H92))/2)))*(IF($K92="",'تنظیمات'!$B$2,$K92))/100,0))</f>
        <v/>
      </c>
      <c r="P92" s="10" t="n"/>
    </row>
    <row r="93">
      <c r="F93" s="6" t="n"/>
      <c r="G93" s="7" t="n"/>
      <c r="H93" s="7" t="n"/>
      <c r="I93" s="7" t="n"/>
      <c r="J93" s="7" t="n"/>
      <c r="K93" s="8" t="n"/>
      <c r="L93" s="9">
        <f>IF(AND($H93="",OR($G93="",$I93="")),"",ROUND(((IF($H93="",$I93-$G93,$H93))-(MIN(IF($J93="",0,$J93),(IF($H93="",$I93-$G93,$H93))/2)))*(IF($K93="",'تنظیمات'!$B$2,$K93))/100,0))</f>
        <v/>
      </c>
      <c r="P93" s="10" t="n"/>
    </row>
    <row r="94">
      <c r="F94" s="6" t="n"/>
      <c r="G94" s="7" t="n"/>
      <c r="H94" s="7" t="n"/>
      <c r="I94" s="7" t="n"/>
      <c r="J94" s="7" t="n"/>
      <c r="K94" s="8" t="n"/>
      <c r="L94" s="9">
        <f>IF(AND($H94="",OR($G94="",$I94="")),"",ROUND(((IF($H94="",$I94-$G94,$H94))-(MIN(IF($J94="",0,$J94),(IF($H94="",$I94-$G94,$H94))/2)))*(IF($K94="",'تنظیمات'!$B$2,$K94))/100,0))</f>
        <v/>
      </c>
      <c r="P94" s="10" t="n"/>
    </row>
    <row r="95">
      <c r="F95" s="6" t="n"/>
      <c r="G95" s="7" t="n"/>
      <c r="H95" s="7" t="n"/>
      <c r="I95" s="7" t="n"/>
      <c r="J95" s="7" t="n"/>
      <c r="K95" s="8" t="n"/>
      <c r="L95" s="9">
        <f>IF(AND($H95="",OR($G95="",$I95="")),"",ROUND(((IF($H95="",$I95-$G95,$H95))-(MIN(IF($J95="",0,$J95),(IF($H95="",$I95-$G95,$H95))/2)))*(IF($K95="",'تنظیمات'!$B$2,$K95))/100,0))</f>
        <v/>
      </c>
      <c r="P95" s="10" t="n"/>
    </row>
    <row r="96">
      <c r="F96" s="6" t="n"/>
      <c r="G96" s="7" t="n"/>
      <c r="H96" s="7" t="n"/>
      <c r="I96" s="7" t="n"/>
      <c r="J96" s="7" t="n"/>
      <c r="K96" s="8" t="n"/>
      <c r="L96" s="9">
        <f>IF(AND($H96="",OR($G96="",$I96="")),"",ROUND(((IF($H96="",$I96-$G96,$H96))-(MIN(IF($J96="",0,$J96),(IF($H96="",$I96-$G96,$H96))/2)))*(IF($K96="",'تنظیمات'!$B$2,$K96))/100,0))</f>
        <v/>
      </c>
      <c r="P96" s="10" t="n"/>
    </row>
    <row r="97">
      <c r="F97" s="6" t="n"/>
      <c r="G97" s="7" t="n"/>
      <c r="H97" s="7" t="n"/>
      <c r="I97" s="7" t="n"/>
      <c r="J97" s="7" t="n"/>
      <c r="K97" s="8" t="n"/>
      <c r="L97" s="9">
        <f>IF(AND($H97="",OR($G97="",$I97="")),"",ROUND(((IF($H97="",$I97-$G97,$H97))-(MIN(IF($J97="",0,$J97),(IF($H97="",$I97-$G97,$H97))/2)))*(IF($K97="",'تنظیمات'!$B$2,$K97))/100,0))</f>
        <v/>
      </c>
      <c r="P97" s="10" t="n"/>
    </row>
    <row r="98">
      <c r="F98" s="6" t="n"/>
      <c r="G98" s="7" t="n"/>
      <c r="H98" s="7" t="n"/>
      <c r="I98" s="7" t="n"/>
      <c r="J98" s="7" t="n"/>
      <c r="K98" s="8" t="n"/>
      <c r="L98" s="9">
        <f>IF(AND($H98="",OR($G98="",$I98="")),"",ROUND(((IF($H98="",$I98-$G98,$H98))-(MIN(IF($J98="",0,$J98),(IF($H98="",$I98-$G98,$H98))/2)))*(IF($K98="",'تنظیمات'!$B$2,$K98))/100,0))</f>
        <v/>
      </c>
      <c r="P98" s="10" t="n"/>
    </row>
    <row r="99">
      <c r="F99" s="6" t="n"/>
      <c r="G99" s="7" t="n"/>
      <c r="H99" s="7" t="n"/>
      <c r="I99" s="7" t="n"/>
      <c r="J99" s="7" t="n"/>
      <c r="K99" s="8" t="n"/>
      <c r="L99" s="9">
        <f>IF(AND($H99="",OR($G99="",$I99="")),"",ROUND(((IF($H99="",$I99-$G99,$H99))-(MIN(IF($J99="",0,$J99),(IF($H99="",$I99-$G99,$H99))/2)))*(IF($K99="",'تنظیمات'!$B$2,$K99))/100,0))</f>
        <v/>
      </c>
      <c r="P99" s="10" t="n"/>
    </row>
    <row r="100">
      <c r="F100" s="6" t="n"/>
      <c r="G100" s="7" t="n"/>
      <c r="H100" s="7" t="n"/>
      <c r="I100" s="7" t="n"/>
      <c r="J100" s="7" t="n"/>
      <c r="K100" s="8" t="n"/>
      <c r="L100" s="9">
        <f>IF(AND($H100="",OR($G100="",$I100="")),"",ROUND(((IF($H100="",$I100-$G100,$H100))-(MIN(IF($J100="",0,$J100),(IF($H100="",$I100-$G100,$H100))/2)))*(IF($K100="",'تنظیمات'!$B$2,$K100))/100,0))</f>
        <v/>
      </c>
      <c r="P100" s="10" t="n"/>
    </row>
    <row r="101">
      <c r="F101" s="6" t="n"/>
      <c r="G101" s="7" t="n"/>
      <c r="H101" s="7" t="n"/>
      <c r="I101" s="7" t="n"/>
      <c r="J101" s="7" t="n"/>
      <c r="K101" s="8" t="n"/>
      <c r="L101" s="9">
        <f>IF(AND($H101="",OR($G101="",$I101="")),"",ROUND(((IF($H101="",$I101-$G101,$H101))-(MIN(IF($J101="",0,$J101),(IF($H101="",$I101-$G101,$H101))/2)))*(IF($K101="",'تنظیمات'!$B$2,$K101))/100,0))</f>
        <v/>
      </c>
      <c r="P101" s="10" t="n"/>
    </row>
    <row r="102">
      <c r="F102" s="6" t="n"/>
      <c r="G102" s="7" t="n"/>
      <c r="H102" s="7" t="n"/>
      <c r="I102" s="7" t="n"/>
      <c r="J102" s="7" t="n"/>
      <c r="K102" s="8" t="n"/>
      <c r="L102" s="9">
        <f>IF(AND($H102="",OR($G102="",$I102="")),"",ROUND(((IF($H102="",$I102-$G102,$H102))-(MIN(IF($J102="",0,$J102),(IF($H102="",$I102-$G102,$H102))/2)))*(IF($K102="",'تنظیمات'!$B$2,$K102))/100,0))</f>
        <v/>
      </c>
      <c r="P102" s="10" t="n"/>
    </row>
    <row r="103">
      <c r="F103" s="6" t="n"/>
      <c r="G103" s="7" t="n"/>
      <c r="H103" s="7" t="n"/>
      <c r="I103" s="7" t="n"/>
      <c r="J103" s="7" t="n"/>
      <c r="K103" s="8" t="n"/>
      <c r="L103" s="9">
        <f>IF(AND($H103="",OR($G103="",$I103="")),"",ROUND(((IF($H103="",$I103-$G103,$H103))-(MIN(IF($J103="",0,$J103),(IF($H103="",$I103-$G103,$H103))/2)))*(IF($K103="",'تنظیمات'!$B$2,$K103))/100,0))</f>
        <v/>
      </c>
      <c r="P103" s="10" t="n"/>
    </row>
    <row r="104">
      <c r="F104" s="6" t="n"/>
      <c r="G104" s="7" t="n"/>
      <c r="H104" s="7" t="n"/>
      <c r="I104" s="7" t="n"/>
      <c r="J104" s="7" t="n"/>
      <c r="K104" s="8" t="n"/>
      <c r="L104" s="9">
        <f>IF(AND($H104="",OR($G104="",$I104="")),"",ROUND(((IF($H104="",$I104-$G104,$H104))-(MIN(IF($J104="",0,$J104),(IF($H104="",$I104-$G104,$H104))/2)))*(IF($K104="",'تنظیمات'!$B$2,$K104))/100,0))</f>
        <v/>
      </c>
      <c r="P104" s="10" t="n"/>
    </row>
    <row r="105">
      <c r="F105" s="6" t="n"/>
      <c r="G105" s="7" t="n"/>
      <c r="H105" s="7" t="n"/>
      <c r="I105" s="7" t="n"/>
      <c r="J105" s="7" t="n"/>
      <c r="K105" s="8" t="n"/>
      <c r="L105" s="9">
        <f>IF(AND($H105="",OR($G105="",$I105="")),"",ROUND(((IF($H105="",$I105-$G105,$H105))-(MIN(IF($J105="",0,$J105),(IF($H105="",$I105-$G105,$H105))/2)))*(IF($K105="",'تنظیمات'!$B$2,$K105))/100,0))</f>
        <v/>
      </c>
      <c r="P105" s="10" t="n"/>
    </row>
    <row r="106">
      <c r="F106" s="6" t="n"/>
      <c r="G106" s="7" t="n"/>
      <c r="H106" s="7" t="n"/>
      <c r="I106" s="7" t="n"/>
      <c r="J106" s="7" t="n"/>
      <c r="K106" s="8" t="n"/>
      <c r="L106" s="9">
        <f>IF(AND($H106="",OR($G106="",$I106="")),"",ROUND(((IF($H106="",$I106-$G106,$H106))-(MIN(IF($J106="",0,$J106),(IF($H106="",$I106-$G106,$H106))/2)))*(IF($K106="",'تنظیمات'!$B$2,$K106))/100,0))</f>
        <v/>
      </c>
      <c r="P106" s="10" t="n"/>
    </row>
    <row r="107">
      <c r="F107" s="6" t="n"/>
      <c r="G107" s="7" t="n"/>
      <c r="H107" s="7" t="n"/>
      <c r="I107" s="7" t="n"/>
      <c r="J107" s="7" t="n"/>
      <c r="K107" s="8" t="n"/>
      <c r="L107" s="9">
        <f>IF(AND($H107="",OR($G107="",$I107="")),"",ROUND(((IF($H107="",$I107-$G107,$H107))-(MIN(IF($J107="",0,$J107),(IF($H107="",$I107-$G107,$H107))/2)))*(IF($K107="",'تنظیمات'!$B$2,$K107))/100,0))</f>
        <v/>
      </c>
      <c r="P107" s="10" t="n"/>
    </row>
    <row r="108">
      <c r="F108" s="6" t="n"/>
      <c r="G108" s="7" t="n"/>
      <c r="H108" s="7" t="n"/>
      <c r="I108" s="7" t="n"/>
      <c r="J108" s="7" t="n"/>
      <c r="K108" s="8" t="n"/>
      <c r="L108" s="9">
        <f>IF(AND($H108="",OR($G108="",$I108="")),"",ROUND(((IF($H108="",$I108-$G108,$H108))-(MIN(IF($J108="",0,$J108),(IF($H108="",$I108-$G108,$H108))/2)))*(IF($K108="",'تنظیمات'!$B$2,$K108))/100,0))</f>
        <v/>
      </c>
      <c r="P108" s="10" t="n"/>
    </row>
    <row r="109">
      <c r="F109" s="6" t="n"/>
      <c r="G109" s="7" t="n"/>
      <c r="H109" s="7" t="n"/>
      <c r="I109" s="7" t="n"/>
      <c r="J109" s="7" t="n"/>
      <c r="K109" s="8" t="n"/>
      <c r="L109" s="9">
        <f>IF(AND($H109="",OR($G109="",$I109="")),"",ROUND(((IF($H109="",$I109-$G109,$H109))-(MIN(IF($J109="",0,$J109),(IF($H109="",$I109-$G109,$H109))/2)))*(IF($K109="",'تنظیمات'!$B$2,$K109))/100,0))</f>
        <v/>
      </c>
      <c r="P109" s="10" t="n"/>
    </row>
    <row r="110">
      <c r="F110" s="6" t="n"/>
      <c r="G110" s="7" t="n"/>
      <c r="H110" s="7" t="n"/>
      <c r="I110" s="7" t="n"/>
      <c r="J110" s="7" t="n"/>
      <c r="K110" s="8" t="n"/>
      <c r="L110" s="9">
        <f>IF(AND($H110="",OR($G110="",$I110="")),"",ROUND(((IF($H110="",$I110-$G110,$H110))-(MIN(IF($J110="",0,$J110),(IF($H110="",$I110-$G110,$H110))/2)))*(IF($K110="",'تنظیمات'!$B$2,$K110))/100,0))</f>
        <v/>
      </c>
      <c r="P110" s="10" t="n"/>
    </row>
    <row r="111">
      <c r="F111" s="6" t="n"/>
      <c r="G111" s="7" t="n"/>
      <c r="H111" s="7" t="n"/>
      <c r="I111" s="7" t="n"/>
      <c r="J111" s="7" t="n"/>
      <c r="K111" s="8" t="n"/>
      <c r="L111" s="9">
        <f>IF(AND($H111="",OR($G111="",$I111="")),"",ROUND(((IF($H111="",$I111-$G111,$H111))-(MIN(IF($J111="",0,$J111),(IF($H111="",$I111-$G111,$H111))/2)))*(IF($K111="",'تنظیمات'!$B$2,$K111))/100,0))</f>
        <v/>
      </c>
      <c r="P111" s="10" t="n"/>
    </row>
    <row r="112">
      <c r="F112" s="6" t="n"/>
      <c r="G112" s="7" t="n"/>
      <c r="H112" s="7" t="n"/>
      <c r="I112" s="7" t="n"/>
      <c r="J112" s="7" t="n"/>
      <c r="K112" s="8" t="n"/>
      <c r="L112" s="9">
        <f>IF(AND($H112="",OR($G112="",$I112="")),"",ROUND(((IF($H112="",$I112-$G112,$H112))-(MIN(IF($J112="",0,$J112),(IF($H112="",$I112-$G112,$H112))/2)))*(IF($K112="",'تنظیمات'!$B$2,$K112))/100,0))</f>
        <v/>
      </c>
      <c r="P112" s="10" t="n"/>
    </row>
    <row r="113">
      <c r="F113" s="6" t="n"/>
      <c r="G113" s="7" t="n"/>
      <c r="H113" s="7" t="n"/>
      <c r="I113" s="7" t="n"/>
      <c r="J113" s="7" t="n"/>
      <c r="K113" s="8" t="n"/>
      <c r="L113" s="9">
        <f>IF(AND($H113="",OR($G113="",$I113="")),"",ROUND(((IF($H113="",$I113-$G113,$H113))-(MIN(IF($J113="",0,$J113),(IF($H113="",$I113-$G113,$H113))/2)))*(IF($K113="",'تنظیمات'!$B$2,$K113))/100,0))</f>
        <v/>
      </c>
      <c r="P113" s="10" t="n"/>
    </row>
    <row r="114">
      <c r="F114" s="6" t="n"/>
      <c r="G114" s="7" t="n"/>
      <c r="H114" s="7" t="n"/>
      <c r="I114" s="7" t="n"/>
      <c r="J114" s="7" t="n"/>
      <c r="K114" s="8" t="n"/>
      <c r="L114" s="9">
        <f>IF(AND($H114="",OR($G114="",$I114="")),"",ROUND(((IF($H114="",$I114-$G114,$H114))-(MIN(IF($J114="",0,$J114),(IF($H114="",$I114-$G114,$H114))/2)))*(IF($K114="",'تنظیمات'!$B$2,$K114))/100,0))</f>
        <v/>
      </c>
      <c r="P114" s="10" t="n"/>
    </row>
    <row r="115">
      <c r="F115" s="6" t="n"/>
      <c r="G115" s="7" t="n"/>
      <c r="H115" s="7" t="n"/>
      <c r="I115" s="7" t="n"/>
      <c r="J115" s="7" t="n"/>
      <c r="K115" s="8" t="n"/>
      <c r="L115" s="9">
        <f>IF(AND($H115="",OR($G115="",$I115="")),"",ROUND(((IF($H115="",$I115-$G115,$H115))-(MIN(IF($J115="",0,$J115),(IF($H115="",$I115-$G115,$H115))/2)))*(IF($K115="",'تنظیمات'!$B$2,$K115))/100,0))</f>
        <v/>
      </c>
      <c r="P115" s="10" t="n"/>
    </row>
    <row r="116">
      <c r="F116" s="6" t="n"/>
      <c r="G116" s="7" t="n"/>
      <c r="H116" s="7" t="n"/>
      <c r="I116" s="7" t="n"/>
      <c r="J116" s="7" t="n"/>
      <c r="K116" s="8" t="n"/>
      <c r="L116" s="9">
        <f>IF(AND($H116="",OR($G116="",$I116="")),"",ROUND(((IF($H116="",$I116-$G116,$H116))-(MIN(IF($J116="",0,$J116),(IF($H116="",$I116-$G116,$H116))/2)))*(IF($K116="",'تنظیمات'!$B$2,$K116))/100,0))</f>
        <v/>
      </c>
      <c r="P116" s="10" t="n"/>
    </row>
    <row r="117">
      <c r="F117" s="6" t="n"/>
      <c r="G117" s="7" t="n"/>
      <c r="H117" s="7" t="n"/>
      <c r="I117" s="7" t="n"/>
      <c r="J117" s="7" t="n"/>
      <c r="K117" s="8" t="n"/>
      <c r="L117" s="9">
        <f>IF(AND($H117="",OR($G117="",$I117="")),"",ROUND(((IF($H117="",$I117-$G117,$H117))-(MIN(IF($J117="",0,$J117),(IF($H117="",$I117-$G117,$H117))/2)))*(IF($K117="",'تنظیمات'!$B$2,$K117))/100,0))</f>
        <v/>
      </c>
      <c r="P117" s="10" t="n"/>
    </row>
    <row r="118">
      <c r="F118" s="6" t="n"/>
      <c r="G118" s="7" t="n"/>
      <c r="H118" s="7" t="n"/>
      <c r="I118" s="7" t="n"/>
      <c r="J118" s="7" t="n"/>
      <c r="K118" s="8" t="n"/>
      <c r="L118" s="9">
        <f>IF(AND($H118="",OR($G118="",$I118="")),"",ROUND(((IF($H118="",$I118-$G118,$H118))-(MIN(IF($J118="",0,$J118),(IF($H118="",$I118-$G118,$H118))/2)))*(IF($K118="",'تنظیمات'!$B$2,$K118))/100,0))</f>
        <v/>
      </c>
      <c r="P118" s="10" t="n"/>
    </row>
    <row r="119">
      <c r="F119" s="6" t="n"/>
      <c r="G119" s="7" t="n"/>
      <c r="H119" s="7" t="n"/>
      <c r="I119" s="7" t="n"/>
      <c r="J119" s="7" t="n"/>
      <c r="K119" s="8" t="n"/>
      <c r="L119" s="9">
        <f>IF(AND($H119="",OR($G119="",$I119="")),"",ROUND(((IF($H119="",$I119-$G119,$H119))-(MIN(IF($J119="",0,$J119),(IF($H119="",$I119-$G119,$H119))/2)))*(IF($K119="",'تنظیمات'!$B$2,$K119))/100,0))</f>
        <v/>
      </c>
      <c r="P119" s="10" t="n"/>
    </row>
    <row r="120">
      <c r="F120" s="6" t="n"/>
      <c r="G120" s="7" t="n"/>
      <c r="H120" s="7" t="n"/>
      <c r="I120" s="7" t="n"/>
      <c r="J120" s="7" t="n"/>
      <c r="K120" s="8" t="n"/>
      <c r="L120" s="9">
        <f>IF(AND($H120="",OR($G120="",$I120="")),"",ROUND(((IF($H120="",$I120-$G120,$H120))-(MIN(IF($J120="",0,$J120),(IF($H120="",$I120-$G120,$H120))/2)))*(IF($K120="",'تنظیمات'!$B$2,$K120))/100,0))</f>
        <v/>
      </c>
      <c r="P120" s="10" t="n"/>
    </row>
    <row r="121">
      <c r="F121" s="6" t="n"/>
      <c r="G121" s="7" t="n"/>
      <c r="H121" s="7" t="n"/>
      <c r="I121" s="7" t="n"/>
      <c r="J121" s="7" t="n"/>
      <c r="K121" s="8" t="n"/>
      <c r="L121" s="9">
        <f>IF(AND($H121="",OR($G121="",$I121="")),"",ROUND(((IF($H121="",$I121-$G121,$H121))-(MIN(IF($J121="",0,$J121),(IF($H121="",$I121-$G121,$H121))/2)))*(IF($K121="",'تنظیمات'!$B$2,$K121))/100,0))</f>
        <v/>
      </c>
      <c r="P121" s="10" t="n"/>
    </row>
    <row r="122">
      <c r="F122" s="6" t="n"/>
      <c r="G122" s="7" t="n"/>
      <c r="H122" s="7" t="n"/>
      <c r="I122" s="7" t="n"/>
      <c r="J122" s="7" t="n"/>
      <c r="K122" s="8" t="n"/>
      <c r="L122" s="9">
        <f>IF(AND($H122="",OR($G122="",$I122="")),"",ROUND(((IF($H122="",$I122-$G122,$H122))-(MIN(IF($J122="",0,$J122),(IF($H122="",$I122-$G122,$H122))/2)))*(IF($K122="",'تنظیمات'!$B$2,$K122))/100,0))</f>
        <v/>
      </c>
      <c r="P122" s="10" t="n"/>
    </row>
    <row r="123">
      <c r="F123" s="6" t="n"/>
      <c r="G123" s="7" t="n"/>
      <c r="H123" s="7" t="n"/>
      <c r="I123" s="7" t="n"/>
      <c r="J123" s="7" t="n"/>
      <c r="K123" s="8" t="n"/>
      <c r="L123" s="9">
        <f>IF(AND($H123="",OR($G123="",$I123="")),"",ROUND(((IF($H123="",$I123-$G123,$H123))-(MIN(IF($J123="",0,$J123),(IF($H123="",$I123-$G123,$H123))/2)))*(IF($K123="",'تنظیمات'!$B$2,$K123))/100,0))</f>
        <v/>
      </c>
      <c r="P123" s="10" t="n"/>
    </row>
    <row r="124">
      <c r="F124" s="6" t="n"/>
      <c r="G124" s="7" t="n"/>
      <c r="H124" s="7" t="n"/>
      <c r="I124" s="7" t="n"/>
      <c r="J124" s="7" t="n"/>
      <c r="K124" s="8" t="n"/>
      <c r="L124" s="9">
        <f>IF(AND($H124="",OR($G124="",$I124="")),"",ROUND(((IF($H124="",$I124-$G124,$H124))-(MIN(IF($J124="",0,$J124),(IF($H124="",$I124-$G124,$H124))/2)))*(IF($K124="",'تنظیمات'!$B$2,$K124))/100,0))</f>
        <v/>
      </c>
      <c r="P124" s="10" t="n"/>
    </row>
    <row r="125">
      <c r="F125" s="6" t="n"/>
      <c r="G125" s="7" t="n"/>
      <c r="H125" s="7" t="n"/>
      <c r="I125" s="7" t="n"/>
      <c r="J125" s="7" t="n"/>
      <c r="K125" s="8" t="n"/>
      <c r="L125" s="9">
        <f>IF(AND($H125="",OR($G125="",$I125="")),"",ROUND(((IF($H125="",$I125-$G125,$H125))-(MIN(IF($J125="",0,$J125),(IF($H125="",$I125-$G125,$H125))/2)))*(IF($K125="",'تنظیمات'!$B$2,$K125))/100,0))</f>
        <v/>
      </c>
      <c r="P125" s="10" t="n"/>
    </row>
    <row r="126">
      <c r="F126" s="6" t="n"/>
      <c r="G126" s="7" t="n"/>
      <c r="H126" s="7" t="n"/>
      <c r="I126" s="7" t="n"/>
      <c r="J126" s="7" t="n"/>
      <c r="K126" s="8" t="n"/>
      <c r="L126" s="9">
        <f>IF(AND($H126="",OR($G126="",$I126="")),"",ROUND(((IF($H126="",$I126-$G126,$H126))-(MIN(IF($J126="",0,$J126),(IF($H126="",$I126-$G126,$H126))/2)))*(IF($K126="",'تنظیمات'!$B$2,$K126))/100,0))</f>
        <v/>
      </c>
      <c r="P126" s="10" t="n"/>
    </row>
    <row r="127">
      <c r="F127" s="6" t="n"/>
      <c r="G127" s="7" t="n"/>
      <c r="H127" s="7" t="n"/>
      <c r="I127" s="7" t="n"/>
      <c r="J127" s="7" t="n"/>
      <c r="K127" s="8" t="n"/>
      <c r="L127" s="9">
        <f>IF(AND($H127="",OR($G127="",$I127="")),"",ROUND(((IF($H127="",$I127-$G127,$H127))-(MIN(IF($J127="",0,$J127),(IF($H127="",$I127-$G127,$H127))/2)))*(IF($K127="",'تنظیمات'!$B$2,$K127))/100,0))</f>
        <v/>
      </c>
      <c r="P127" s="10" t="n"/>
    </row>
    <row r="128">
      <c r="F128" s="6" t="n"/>
      <c r="G128" s="7" t="n"/>
      <c r="H128" s="7" t="n"/>
      <c r="I128" s="7" t="n"/>
      <c r="J128" s="7" t="n"/>
      <c r="K128" s="8" t="n"/>
      <c r="L128" s="9">
        <f>IF(AND($H128="",OR($G128="",$I128="")),"",ROUND(((IF($H128="",$I128-$G128,$H128))-(MIN(IF($J128="",0,$J128),(IF($H128="",$I128-$G128,$H128))/2)))*(IF($K128="",'تنظیمات'!$B$2,$K128))/100,0))</f>
        <v/>
      </c>
      <c r="P128" s="10" t="n"/>
    </row>
    <row r="129">
      <c r="F129" s="6" t="n"/>
      <c r="G129" s="7" t="n"/>
      <c r="H129" s="7" t="n"/>
      <c r="I129" s="7" t="n"/>
      <c r="J129" s="7" t="n"/>
      <c r="K129" s="8" t="n"/>
      <c r="L129" s="9">
        <f>IF(AND($H129="",OR($G129="",$I129="")),"",ROUND(((IF($H129="",$I129-$G129,$H129))-(MIN(IF($J129="",0,$J129),(IF($H129="",$I129-$G129,$H129))/2)))*(IF($K129="",'تنظیمات'!$B$2,$K129))/100,0))</f>
        <v/>
      </c>
      <c r="P129" s="10" t="n"/>
    </row>
    <row r="130">
      <c r="F130" s="6" t="n"/>
      <c r="G130" s="7" t="n"/>
      <c r="H130" s="7" t="n"/>
      <c r="I130" s="7" t="n"/>
      <c r="J130" s="7" t="n"/>
      <c r="K130" s="8" t="n"/>
      <c r="L130" s="9">
        <f>IF(AND($H130="",OR($G130="",$I130="")),"",ROUND(((IF($H130="",$I130-$G130,$H130))-(MIN(IF($J130="",0,$J130),(IF($H130="",$I130-$G130,$H130))/2)))*(IF($K130="",'تنظیمات'!$B$2,$K130))/100,0))</f>
        <v/>
      </c>
      <c r="P130" s="10" t="n"/>
    </row>
    <row r="131">
      <c r="F131" s="6" t="n"/>
      <c r="G131" s="7" t="n"/>
      <c r="H131" s="7" t="n"/>
      <c r="I131" s="7" t="n"/>
      <c r="J131" s="7" t="n"/>
      <c r="K131" s="8" t="n"/>
      <c r="L131" s="9">
        <f>IF(AND($H131="",OR($G131="",$I131="")),"",ROUND(((IF($H131="",$I131-$G131,$H131))-(MIN(IF($J131="",0,$J131),(IF($H131="",$I131-$G131,$H131))/2)))*(IF($K131="",'تنظیمات'!$B$2,$K131))/100,0))</f>
        <v/>
      </c>
      <c r="P131" s="10" t="n"/>
    </row>
    <row r="132">
      <c r="F132" s="6" t="n"/>
      <c r="G132" s="7" t="n"/>
      <c r="H132" s="7" t="n"/>
      <c r="I132" s="7" t="n"/>
      <c r="J132" s="7" t="n"/>
      <c r="K132" s="8" t="n"/>
      <c r="L132" s="9">
        <f>IF(AND($H132="",OR($G132="",$I132="")),"",ROUND(((IF($H132="",$I132-$G132,$H132))-(MIN(IF($J132="",0,$J132),(IF($H132="",$I132-$G132,$H132))/2)))*(IF($K132="",'تنظیمات'!$B$2,$K132))/100,0))</f>
        <v/>
      </c>
      <c r="P132" s="10" t="n"/>
    </row>
    <row r="133">
      <c r="F133" s="6" t="n"/>
      <c r="G133" s="7" t="n"/>
      <c r="H133" s="7" t="n"/>
      <c r="I133" s="7" t="n"/>
      <c r="J133" s="7" t="n"/>
      <c r="K133" s="8" t="n"/>
      <c r="L133" s="9">
        <f>IF(AND($H133="",OR($G133="",$I133="")),"",ROUND(((IF($H133="",$I133-$G133,$H133))-(MIN(IF($J133="",0,$J133),(IF($H133="",$I133-$G133,$H133))/2)))*(IF($K133="",'تنظیمات'!$B$2,$K133))/100,0))</f>
        <v/>
      </c>
      <c r="P133" s="10" t="n"/>
    </row>
    <row r="134">
      <c r="F134" s="6" t="n"/>
      <c r="G134" s="7" t="n"/>
      <c r="H134" s="7" t="n"/>
      <c r="I134" s="7" t="n"/>
      <c r="J134" s="7" t="n"/>
      <c r="K134" s="8" t="n"/>
      <c r="L134" s="9">
        <f>IF(AND($H134="",OR($G134="",$I134="")),"",ROUND(((IF($H134="",$I134-$G134,$H134))-(MIN(IF($J134="",0,$J134),(IF($H134="",$I134-$G134,$H134))/2)))*(IF($K134="",'تنظیمات'!$B$2,$K134))/100,0))</f>
        <v/>
      </c>
      <c r="P134" s="10" t="n"/>
    </row>
    <row r="135">
      <c r="F135" s="6" t="n"/>
      <c r="G135" s="7" t="n"/>
      <c r="H135" s="7" t="n"/>
      <c r="I135" s="7" t="n"/>
      <c r="J135" s="7" t="n"/>
      <c r="K135" s="8" t="n"/>
      <c r="L135" s="9">
        <f>IF(AND($H135="",OR($G135="",$I135="")),"",ROUND(((IF($H135="",$I135-$G135,$H135))-(MIN(IF($J135="",0,$J135),(IF($H135="",$I135-$G135,$H135))/2)))*(IF($K135="",'تنظیمات'!$B$2,$K135))/100,0))</f>
        <v/>
      </c>
      <c r="P135" s="10" t="n"/>
    </row>
    <row r="136">
      <c r="F136" s="6" t="n"/>
      <c r="G136" s="7" t="n"/>
      <c r="H136" s="7" t="n"/>
      <c r="I136" s="7" t="n"/>
      <c r="J136" s="7" t="n"/>
      <c r="K136" s="8" t="n"/>
      <c r="L136" s="9">
        <f>IF(AND($H136="",OR($G136="",$I136="")),"",ROUND(((IF($H136="",$I136-$G136,$H136))-(MIN(IF($J136="",0,$J136),(IF($H136="",$I136-$G136,$H136))/2)))*(IF($K136="",'تنظیمات'!$B$2,$K136))/100,0))</f>
        <v/>
      </c>
      <c r="P136" s="10" t="n"/>
    </row>
    <row r="137">
      <c r="F137" s="6" t="n"/>
      <c r="G137" s="7" t="n"/>
      <c r="H137" s="7" t="n"/>
      <c r="I137" s="7" t="n"/>
      <c r="J137" s="7" t="n"/>
      <c r="K137" s="8" t="n"/>
      <c r="L137" s="9">
        <f>IF(AND($H137="",OR($G137="",$I137="")),"",ROUND(((IF($H137="",$I137-$G137,$H137))-(MIN(IF($J137="",0,$J137),(IF($H137="",$I137-$G137,$H137))/2)))*(IF($K137="",'تنظیمات'!$B$2,$K137))/100,0))</f>
        <v/>
      </c>
      <c r="P137" s="10" t="n"/>
    </row>
    <row r="138">
      <c r="F138" s="6" t="n"/>
      <c r="G138" s="7" t="n"/>
      <c r="H138" s="7" t="n"/>
      <c r="I138" s="7" t="n"/>
      <c r="J138" s="7" t="n"/>
      <c r="K138" s="8" t="n"/>
      <c r="L138" s="9">
        <f>IF(AND($H138="",OR($G138="",$I138="")),"",ROUND(((IF($H138="",$I138-$G138,$H138))-(MIN(IF($J138="",0,$J138),(IF($H138="",$I138-$G138,$H138))/2)))*(IF($K138="",'تنظیمات'!$B$2,$K138))/100,0))</f>
        <v/>
      </c>
      <c r="P138" s="10" t="n"/>
    </row>
    <row r="139">
      <c r="F139" s="6" t="n"/>
      <c r="G139" s="7" t="n"/>
      <c r="H139" s="7" t="n"/>
      <c r="I139" s="7" t="n"/>
      <c r="J139" s="7" t="n"/>
      <c r="K139" s="8" t="n"/>
      <c r="L139" s="9">
        <f>IF(AND($H139="",OR($G139="",$I139="")),"",ROUND(((IF($H139="",$I139-$G139,$H139))-(MIN(IF($J139="",0,$J139),(IF($H139="",$I139-$G139,$H139))/2)))*(IF($K139="",'تنظیمات'!$B$2,$K139))/100,0))</f>
        <v/>
      </c>
      <c r="P139" s="10" t="n"/>
    </row>
    <row r="140">
      <c r="F140" s="6" t="n"/>
      <c r="G140" s="7" t="n"/>
      <c r="H140" s="7" t="n"/>
      <c r="I140" s="7" t="n"/>
      <c r="J140" s="7" t="n"/>
      <c r="K140" s="8" t="n"/>
      <c r="L140" s="9">
        <f>IF(AND($H140="",OR($G140="",$I140="")),"",ROUND(((IF($H140="",$I140-$G140,$H140))-(MIN(IF($J140="",0,$J140),(IF($H140="",$I140-$G140,$H140))/2)))*(IF($K140="",'تنظیمات'!$B$2,$K140))/100,0))</f>
        <v/>
      </c>
      <c r="P140" s="10" t="n"/>
    </row>
    <row r="141">
      <c r="F141" s="6" t="n"/>
      <c r="G141" s="7" t="n"/>
      <c r="H141" s="7" t="n"/>
      <c r="I141" s="7" t="n"/>
      <c r="J141" s="7" t="n"/>
      <c r="K141" s="8" t="n"/>
      <c r="L141" s="9">
        <f>IF(AND($H141="",OR($G141="",$I141="")),"",ROUND(((IF($H141="",$I141-$G141,$H141))-(MIN(IF($J141="",0,$J141),(IF($H141="",$I141-$G141,$H141))/2)))*(IF($K141="",'تنظیمات'!$B$2,$K141))/100,0))</f>
        <v/>
      </c>
      <c r="P141" s="10" t="n"/>
    </row>
    <row r="142">
      <c r="F142" s="6" t="n"/>
      <c r="G142" s="7" t="n"/>
      <c r="H142" s="7" t="n"/>
      <c r="I142" s="7" t="n"/>
      <c r="J142" s="7" t="n"/>
      <c r="K142" s="8" t="n"/>
      <c r="L142" s="9">
        <f>IF(AND($H142="",OR($G142="",$I142="")),"",ROUND(((IF($H142="",$I142-$G142,$H142))-(MIN(IF($J142="",0,$J142),(IF($H142="",$I142-$G142,$H142))/2)))*(IF($K142="",'تنظیمات'!$B$2,$K142))/100,0))</f>
        <v/>
      </c>
      <c r="P142" s="10" t="n"/>
    </row>
    <row r="143">
      <c r="F143" s="6" t="n"/>
      <c r="G143" s="7" t="n"/>
      <c r="H143" s="7" t="n"/>
      <c r="I143" s="7" t="n"/>
      <c r="J143" s="7" t="n"/>
      <c r="K143" s="8" t="n"/>
      <c r="L143" s="9">
        <f>IF(AND($H143="",OR($G143="",$I143="")),"",ROUND(((IF($H143="",$I143-$G143,$H143))-(MIN(IF($J143="",0,$J143),(IF($H143="",$I143-$G143,$H143))/2)))*(IF($K143="",'تنظیمات'!$B$2,$K143))/100,0))</f>
        <v/>
      </c>
      <c r="P143" s="10" t="n"/>
    </row>
    <row r="144">
      <c r="F144" s="6" t="n"/>
      <c r="G144" s="7" t="n"/>
      <c r="H144" s="7" t="n"/>
      <c r="I144" s="7" t="n"/>
      <c r="J144" s="7" t="n"/>
      <c r="K144" s="8" t="n"/>
      <c r="L144" s="9">
        <f>IF(AND($H144="",OR($G144="",$I144="")),"",ROUND(((IF($H144="",$I144-$G144,$H144))-(MIN(IF($J144="",0,$J144),(IF($H144="",$I144-$G144,$H144))/2)))*(IF($K144="",'تنظیمات'!$B$2,$K144))/100,0))</f>
        <v/>
      </c>
      <c r="P144" s="10" t="n"/>
    </row>
    <row r="145">
      <c r="F145" s="6" t="n"/>
      <c r="G145" s="7" t="n"/>
      <c r="H145" s="7" t="n"/>
      <c r="I145" s="7" t="n"/>
      <c r="J145" s="7" t="n"/>
      <c r="K145" s="8" t="n"/>
      <c r="L145" s="9">
        <f>IF(AND($H145="",OR($G145="",$I145="")),"",ROUND(((IF($H145="",$I145-$G145,$H145))-(MIN(IF($J145="",0,$J145),(IF($H145="",$I145-$G145,$H145))/2)))*(IF($K145="",'تنظیمات'!$B$2,$K145))/100,0))</f>
        <v/>
      </c>
      <c r="P145" s="10" t="n"/>
    </row>
    <row r="146">
      <c r="F146" s="6" t="n"/>
      <c r="G146" s="7" t="n"/>
      <c r="H146" s="7" t="n"/>
      <c r="I146" s="7" t="n"/>
      <c r="J146" s="7" t="n"/>
      <c r="K146" s="8" t="n"/>
      <c r="L146" s="9">
        <f>IF(AND($H146="",OR($G146="",$I146="")),"",ROUND(((IF($H146="",$I146-$G146,$H146))-(MIN(IF($J146="",0,$J146),(IF($H146="",$I146-$G146,$H146))/2)))*(IF($K146="",'تنظیمات'!$B$2,$K146))/100,0))</f>
        <v/>
      </c>
      <c r="P146" s="10" t="n"/>
    </row>
    <row r="147">
      <c r="F147" s="6" t="n"/>
      <c r="G147" s="7" t="n"/>
      <c r="H147" s="7" t="n"/>
      <c r="I147" s="7" t="n"/>
      <c r="J147" s="7" t="n"/>
      <c r="K147" s="8" t="n"/>
      <c r="L147" s="9">
        <f>IF(AND($H147="",OR($G147="",$I147="")),"",ROUND(((IF($H147="",$I147-$G147,$H147))-(MIN(IF($J147="",0,$J147),(IF($H147="",$I147-$G147,$H147))/2)))*(IF($K147="",'تنظیمات'!$B$2,$K147))/100,0))</f>
        <v/>
      </c>
      <c r="P147" s="10" t="n"/>
    </row>
    <row r="148">
      <c r="F148" s="6" t="n"/>
      <c r="G148" s="7" t="n"/>
      <c r="H148" s="7" t="n"/>
      <c r="I148" s="7" t="n"/>
      <c r="J148" s="7" t="n"/>
      <c r="K148" s="8" t="n"/>
      <c r="L148" s="9">
        <f>IF(AND($H148="",OR($G148="",$I148="")),"",ROUND(((IF($H148="",$I148-$G148,$H148))-(MIN(IF($J148="",0,$J148),(IF($H148="",$I148-$G148,$H148))/2)))*(IF($K148="",'تنظیمات'!$B$2,$K148))/100,0))</f>
        <v/>
      </c>
      <c r="P148" s="10" t="n"/>
    </row>
    <row r="149">
      <c r="F149" s="6" t="n"/>
      <c r="G149" s="7" t="n"/>
      <c r="H149" s="7" t="n"/>
      <c r="I149" s="7" t="n"/>
      <c r="J149" s="7" t="n"/>
      <c r="K149" s="8" t="n"/>
      <c r="L149" s="9">
        <f>IF(AND($H149="",OR($G149="",$I149="")),"",ROUND(((IF($H149="",$I149-$G149,$H149))-(MIN(IF($J149="",0,$J149),(IF($H149="",$I149-$G149,$H149))/2)))*(IF($K149="",'تنظیمات'!$B$2,$K149))/100,0))</f>
        <v/>
      </c>
      <c r="P149" s="10" t="n"/>
    </row>
    <row r="150">
      <c r="F150" s="6" t="n"/>
      <c r="G150" s="7" t="n"/>
      <c r="H150" s="7" t="n"/>
      <c r="I150" s="7" t="n"/>
      <c r="J150" s="7" t="n"/>
      <c r="K150" s="8" t="n"/>
      <c r="L150" s="9">
        <f>IF(AND($H150="",OR($G150="",$I150="")),"",ROUND(((IF($H150="",$I150-$G150,$H150))-(MIN(IF($J150="",0,$J150),(IF($H150="",$I150-$G150,$H150))/2)))*(IF($K150="",'تنظیمات'!$B$2,$K150))/100,0))</f>
        <v/>
      </c>
      <c r="P150" s="10" t="n"/>
    </row>
    <row r="151">
      <c r="F151" s="6" t="n"/>
      <c r="G151" s="7" t="n"/>
      <c r="H151" s="7" t="n"/>
      <c r="I151" s="7" t="n"/>
      <c r="J151" s="7" t="n"/>
      <c r="K151" s="8" t="n"/>
      <c r="L151" s="9">
        <f>IF(AND($H151="",OR($G151="",$I151="")),"",ROUND(((IF($H151="",$I151-$G151,$H151))-(MIN(IF($J151="",0,$J151),(IF($H151="",$I151-$G151,$H151))/2)))*(IF($K151="",'تنظیمات'!$B$2,$K151))/100,0))</f>
        <v/>
      </c>
      <c r="P151" s="10" t="n"/>
    </row>
    <row r="152">
      <c r="F152" s="6" t="n"/>
      <c r="G152" s="7" t="n"/>
      <c r="H152" s="7" t="n"/>
      <c r="I152" s="7" t="n"/>
      <c r="J152" s="7" t="n"/>
      <c r="K152" s="8" t="n"/>
      <c r="L152" s="9">
        <f>IF(AND($H152="",OR($G152="",$I152="")),"",ROUND(((IF($H152="",$I152-$G152,$H152))-(MIN(IF($J152="",0,$J152),(IF($H152="",$I152-$G152,$H152))/2)))*(IF($K152="",'تنظیمات'!$B$2,$K152))/100,0))</f>
        <v/>
      </c>
      <c r="P152" s="10" t="n"/>
    </row>
    <row r="153">
      <c r="F153" s="6" t="n"/>
      <c r="G153" s="7" t="n"/>
      <c r="H153" s="7" t="n"/>
      <c r="I153" s="7" t="n"/>
      <c r="J153" s="7" t="n"/>
      <c r="K153" s="8" t="n"/>
      <c r="L153" s="9">
        <f>IF(AND($H153="",OR($G153="",$I153="")),"",ROUND(((IF($H153="",$I153-$G153,$H153))-(MIN(IF($J153="",0,$J153),(IF($H153="",$I153-$G153,$H153))/2)))*(IF($K153="",'تنظیمات'!$B$2,$K153))/100,0))</f>
        <v/>
      </c>
      <c r="P153" s="10" t="n"/>
    </row>
    <row r="154">
      <c r="F154" s="6" t="n"/>
      <c r="G154" s="7" t="n"/>
      <c r="H154" s="7" t="n"/>
      <c r="I154" s="7" t="n"/>
      <c r="J154" s="7" t="n"/>
      <c r="K154" s="8" t="n"/>
      <c r="L154" s="9">
        <f>IF(AND($H154="",OR($G154="",$I154="")),"",ROUND(((IF($H154="",$I154-$G154,$H154))-(MIN(IF($J154="",0,$J154),(IF($H154="",$I154-$G154,$H154))/2)))*(IF($K154="",'تنظیمات'!$B$2,$K154))/100,0))</f>
        <v/>
      </c>
      <c r="P154" s="10" t="n"/>
    </row>
    <row r="155">
      <c r="F155" s="6" t="n"/>
      <c r="G155" s="7" t="n"/>
      <c r="H155" s="7" t="n"/>
      <c r="I155" s="7" t="n"/>
      <c r="J155" s="7" t="n"/>
      <c r="K155" s="8" t="n"/>
      <c r="L155" s="9">
        <f>IF(AND($H155="",OR($G155="",$I155="")),"",ROUND(((IF($H155="",$I155-$G155,$H155))-(MIN(IF($J155="",0,$J155),(IF($H155="",$I155-$G155,$H155))/2)))*(IF($K155="",'تنظیمات'!$B$2,$K155))/100,0))</f>
        <v/>
      </c>
      <c r="P155" s="10" t="n"/>
    </row>
    <row r="156">
      <c r="F156" s="6" t="n"/>
      <c r="G156" s="7" t="n"/>
      <c r="H156" s="7" t="n"/>
      <c r="I156" s="7" t="n"/>
      <c r="J156" s="7" t="n"/>
      <c r="K156" s="8" t="n"/>
      <c r="L156" s="9">
        <f>IF(AND($H156="",OR($G156="",$I156="")),"",ROUND(((IF($H156="",$I156-$G156,$H156))-(MIN(IF($J156="",0,$J156),(IF($H156="",$I156-$G156,$H156))/2)))*(IF($K156="",'تنظیمات'!$B$2,$K156))/100,0))</f>
        <v/>
      </c>
      <c r="P156" s="10" t="n"/>
    </row>
    <row r="157">
      <c r="F157" s="6" t="n"/>
      <c r="G157" s="7" t="n"/>
      <c r="H157" s="7" t="n"/>
      <c r="I157" s="7" t="n"/>
      <c r="J157" s="7" t="n"/>
      <c r="K157" s="8" t="n"/>
      <c r="L157" s="9">
        <f>IF(AND($H157="",OR($G157="",$I157="")),"",ROUND(((IF($H157="",$I157-$G157,$H157))-(MIN(IF($J157="",0,$J157),(IF($H157="",$I157-$G157,$H157))/2)))*(IF($K157="",'تنظیمات'!$B$2,$K157))/100,0))</f>
        <v/>
      </c>
      <c r="P157" s="10" t="n"/>
    </row>
    <row r="158">
      <c r="F158" s="6" t="n"/>
      <c r="G158" s="7" t="n"/>
      <c r="H158" s="7" t="n"/>
      <c r="I158" s="7" t="n"/>
      <c r="J158" s="7" t="n"/>
      <c r="K158" s="8" t="n"/>
      <c r="L158" s="9">
        <f>IF(AND($H158="",OR($G158="",$I158="")),"",ROUND(((IF($H158="",$I158-$G158,$H158))-(MIN(IF($J158="",0,$J158),(IF($H158="",$I158-$G158,$H158))/2)))*(IF($K158="",'تنظیمات'!$B$2,$K158))/100,0))</f>
        <v/>
      </c>
      <c r="P158" s="10" t="n"/>
    </row>
    <row r="159">
      <c r="F159" s="6" t="n"/>
      <c r="G159" s="7" t="n"/>
      <c r="H159" s="7" t="n"/>
      <c r="I159" s="7" t="n"/>
      <c r="J159" s="7" t="n"/>
      <c r="K159" s="8" t="n"/>
      <c r="L159" s="9">
        <f>IF(AND($H159="",OR($G159="",$I159="")),"",ROUND(((IF($H159="",$I159-$G159,$H159))-(MIN(IF($J159="",0,$J159),(IF($H159="",$I159-$G159,$H159))/2)))*(IF($K159="",'تنظیمات'!$B$2,$K159))/100,0))</f>
        <v/>
      </c>
      <c r="P159" s="10" t="n"/>
    </row>
    <row r="160">
      <c r="F160" s="6" t="n"/>
      <c r="G160" s="7" t="n"/>
      <c r="H160" s="7" t="n"/>
      <c r="I160" s="7" t="n"/>
      <c r="J160" s="7" t="n"/>
      <c r="K160" s="8" t="n"/>
      <c r="L160" s="9">
        <f>IF(AND($H160="",OR($G160="",$I160="")),"",ROUND(((IF($H160="",$I160-$G160,$H160))-(MIN(IF($J160="",0,$J160),(IF($H160="",$I160-$G160,$H160))/2)))*(IF($K160="",'تنظیمات'!$B$2,$K160))/100,0))</f>
        <v/>
      </c>
      <c r="P160" s="10" t="n"/>
    </row>
    <row r="161">
      <c r="F161" s="6" t="n"/>
      <c r="G161" s="7" t="n"/>
      <c r="H161" s="7" t="n"/>
      <c r="I161" s="7" t="n"/>
      <c r="J161" s="7" t="n"/>
      <c r="K161" s="8" t="n"/>
      <c r="L161" s="9">
        <f>IF(AND($H161="",OR($G161="",$I161="")),"",ROUND(((IF($H161="",$I161-$G161,$H161))-(MIN(IF($J161="",0,$J161),(IF($H161="",$I161-$G161,$H161))/2)))*(IF($K161="",'تنظیمات'!$B$2,$K161))/100,0))</f>
        <v/>
      </c>
      <c r="P161" s="10" t="n"/>
    </row>
    <row r="162">
      <c r="F162" s="6" t="n"/>
      <c r="G162" s="7" t="n"/>
      <c r="H162" s="7" t="n"/>
      <c r="I162" s="7" t="n"/>
      <c r="J162" s="7" t="n"/>
      <c r="K162" s="8" t="n"/>
      <c r="L162" s="9">
        <f>IF(AND($H162="",OR($G162="",$I162="")),"",ROUND(((IF($H162="",$I162-$G162,$H162))-(MIN(IF($J162="",0,$J162),(IF($H162="",$I162-$G162,$H162))/2)))*(IF($K162="",'تنظیمات'!$B$2,$K162))/100,0))</f>
        <v/>
      </c>
      <c r="P162" s="10" t="n"/>
    </row>
    <row r="163">
      <c r="F163" s="6" t="n"/>
      <c r="G163" s="7" t="n"/>
      <c r="H163" s="7" t="n"/>
      <c r="I163" s="7" t="n"/>
      <c r="J163" s="7" t="n"/>
      <c r="K163" s="8" t="n"/>
      <c r="L163" s="9">
        <f>IF(AND($H163="",OR($G163="",$I163="")),"",ROUND(((IF($H163="",$I163-$G163,$H163))-(MIN(IF($J163="",0,$J163),(IF($H163="",$I163-$G163,$H163))/2)))*(IF($K163="",'تنظیمات'!$B$2,$K163))/100,0))</f>
        <v/>
      </c>
      <c r="P163" s="10" t="n"/>
    </row>
    <row r="164">
      <c r="F164" s="6" t="n"/>
      <c r="G164" s="7" t="n"/>
      <c r="H164" s="7" t="n"/>
      <c r="I164" s="7" t="n"/>
      <c r="J164" s="7" t="n"/>
      <c r="K164" s="8" t="n"/>
      <c r="L164" s="9">
        <f>IF(AND($H164="",OR($G164="",$I164="")),"",ROUND(((IF($H164="",$I164-$G164,$H164))-(MIN(IF($J164="",0,$J164),(IF($H164="",$I164-$G164,$H164))/2)))*(IF($K164="",'تنظیمات'!$B$2,$K164))/100,0))</f>
        <v/>
      </c>
      <c r="P164" s="10" t="n"/>
    </row>
    <row r="165">
      <c r="F165" s="6" t="n"/>
      <c r="G165" s="7" t="n"/>
      <c r="H165" s="7" t="n"/>
      <c r="I165" s="7" t="n"/>
      <c r="J165" s="7" t="n"/>
      <c r="K165" s="8" t="n"/>
      <c r="L165" s="9">
        <f>IF(AND($H165="",OR($G165="",$I165="")),"",ROUND(((IF($H165="",$I165-$G165,$H165))-(MIN(IF($J165="",0,$J165),(IF($H165="",$I165-$G165,$H165))/2)))*(IF($K165="",'تنظیمات'!$B$2,$K165))/100,0))</f>
        <v/>
      </c>
      <c r="P165" s="10" t="n"/>
    </row>
    <row r="166">
      <c r="F166" s="6" t="n"/>
      <c r="G166" s="7" t="n"/>
      <c r="H166" s="7" t="n"/>
      <c r="I166" s="7" t="n"/>
      <c r="J166" s="7" t="n"/>
      <c r="K166" s="8" t="n"/>
      <c r="L166" s="9">
        <f>IF(AND($H166="",OR($G166="",$I166="")),"",ROUND(((IF($H166="",$I166-$G166,$H166))-(MIN(IF($J166="",0,$J166),(IF($H166="",$I166-$G166,$H166))/2)))*(IF($K166="",'تنظیمات'!$B$2,$K166))/100,0))</f>
        <v/>
      </c>
      <c r="P166" s="10" t="n"/>
    </row>
    <row r="167">
      <c r="F167" s="6" t="n"/>
      <c r="G167" s="7" t="n"/>
      <c r="H167" s="7" t="n"/>
      <c r="I167" s="7" t="n"/>
      <c r="J167" s="7" t="n"/>
      <c r="K167" s="8" t="n"/>
      <c r="L167" s="9">
        <f>IF(AND($H167="",OR($G167="",$I167="")),"",ROUND(((IF($H167="",$I167-$G167,$H167))-(MIN(IF($J167="",0,$J167),(IF($H167="",$I167-$G167,$H167))/2)))*(IF($K167="",'تنظیمات'!$B$2,$K167))/100,0))</f>
        <v/>
      </c>
      <c r="P167" s="10" t="n"/>
    </row>
    <row r="168">
      <c r="F168" s="6" t="n"/>
      <c r="G168" s="7" t="n"/>
      <c r="H168" s="7" t="n"/>
      <c r="I168" s="7" t="n"/>
      <c r="J168" s="7" t="n"/>
      <c r="K168" s="8" t="n"/>
      <c r="L168" s="9">
        <f>IF(AND($H168="",OR($G168="",$I168="")),"",ROUND(((IF($H168="",$I168-$G168,$H168))-(MIN(IF($J168="",0,$J168),(IF($H168="",$I168-$G168,$H168))/2)))*(IF($K168="",'تنظیمات'!$B$2,$K168))/100,0))</f>
        <v/>
      </c>
      <c r="P168" s="10" t="n"/>
    </row>
    <row r="169">
      <c r="F169" s="6" t="n"/>
      <c r="G169" s="7" t="n"/>
      <c r="H169" s="7" t="n"/>
      <c r="I169" s="7" t="n"/>
      <c r="J169" s="7" t="n"/>
      <c r="K169" s="8" t="n"/>
      <c r="L169" s="9">
        <f>IF(AND($H169="",OR($G169="",$I169="")),"",ROUND(((IF($H169="",$I169-$G169,$H169))-(MIN(IF($J169="",0,$J169),(IF($H169="",$I169-$G169,$H169))/2)))*(IF($K169="",'تنظیمات'!$B$2,$K169))/100,0))</f>
        <v/>
      </c>
      <c r="P169" s="10" t="n"/>
    </row>
    <row r="170">
      <c r="F170" s="6" t="n"/>
      <c r="G170" s="7" t="n"/>
      <c r="H170" s="7" t="n"/>
      <c r="I170" s="7" t="n"/>
      <c r="J170" s="7" t="n"/>
      <c r="K170" s="8" t="n"/>
      <c r="L170" s="9">
        <f>IF(AND($H170="",OR($G170="",$I170="")),"",ROUND(((IF($H170="",$I170-$G170,$H170))-(MIN(IF($J170="",0,$J170),(IF($H170="",$I170-$G170,$H170))/2)))*(IF($K170="",'تنظیمات'!$B$2,$K170))/100,0))</f>
        <v/>
      </c>
      <c r="P170" s="10" t="n"/>
    </row>
    <row r="171">
      <c r="F171" s="6" t="n"/>
      <c r="G171" s="7" t="n"/>
      <c r="H171" s="7" t="n"/>
      <c r="I171" s="7" t="n"/>
      <c r="J171" s="7" t="n"/>
      <c r="K171" s="8" t="n"/>
      <c r="L171" s="9">
        <f>IF(AND($H171="",OR($G171="",$I171="")),"",ROUND(((IF($H171="",$I171-$G171,$H171))-(MIN(IF($J171="",0,$J171),(IF($H171="",$I171-$G171,$H171))/2)))*(IF($K171="",'تنظیمات'!$B$2,$K171))/100,0))</f>
        <v/>
      </c>
      <c r="P171" s="10" t="n"/>
    </row>
    <row r="172">
      <c r="F172" s="6" t="n"/>
      <c r="G172" s="7" t="n"/>
      <c r="H172" s="7" t="n"/>
      <c r="I172" s="7" t="n"/>
      <c r="J172" s="7" t="n"/>
      <c r="K172" s="8" t="n"/>
      <c r="L172" s="9">
        <f>IF(AND($H172="",OR($G172="",$I172="")),"",ROUND(((IF($H172="",$I172-$G172,$H172))-(MIN(IF($J172="",0,$J172),(IF($H172="",$I172-$G172,$H172))/2)))*(IF($K172="",'تنظیمات'!$B$2,$K172))/100,0))</f>
        <v/>
      </c>
      <c r="P172" s="10" t="n"/>
    </row>
    <row r="173">
      <c r="F173" s="6" t="n"/>
      <c r="G173" s="7" t="n"/>
      <c r="H173" s="7" t="n"/>
      <c r="I173" s="7" t="n"/>
      <c r="J173" s="7" t="n"/>
      <c r="K173" s="8" t="n"/>
      <c r="L173" s="9">
        <f>IF(AND($H173="",OR($G173="",$I173="")),"",ROUND(((IF($H173="",$I173-$G173,$H173))-(MIN(IF($J173="",0,$J173),(IF($H173="",$I173-$G173,$H173))/2)))*(IF($K173="",'تنظیمات'!$B$2,$K173))/100,0))</f>
        <v/>
      </c>
      <c r="P173" s="10" t="n"/>
    </row>
    <row r="174">
      <c r="F174" s="6" t="n"/>
      <c r="G174" s="7" t="n"/>
      <c r="H174" s="7" t="n"/>
      <c r="I174" s="7" t="n"/>
      <c r="J174" s="7" t="n"/>
      <c r="K174" s="8" t="n"/>
      <c r="L174" s="9">
        <f>IF(AND($H174="",OR($G174="",$I174="")),"",ROUND(((IF($H174="",$I174-$G174,$H174))-(MIN(IF($J174="",0,$J174),(IF($H174="",$I174-$G174,$H174))/2)))*(IF($K174="",'تنظیمات'!$B$2,$K174))/100,0))</f>
        <v/>
      </c>
      <c r="P174" s="10" t="n"/>
    </row>
    <row r="175">
      <c r="F175" s="6" t="n"/>
      <c r="G175" s="7" t="n"/>
      <c r="H175" s="7" t="n"/>
      <c r="I175" s="7" t="n"/>
      <c r="J175" s="7" t="n"/>
      <c r="K175" s="8" t="n"/>
      <c r="L175" s="9">
        <f>IF(AND($H175="",OR($G175="",$I175="")),"",ROUND(((IF($H175="",$I175-$G175,$H175))-(MIN(IF($J175="",0,$J175),(IF($H175="",$I175-$G175,$H175))/2)))*(IF($K175="",'تنظیمات'!$B$2,$K175))/100,0))</f>
        <v/>
      </c>
      <c r="P175" s="10" t="n"/>
    </row>
    <row r="176">
      <c r="F176" s="6" t="n"/>
      <c r="G176" s="7" t="n"/>
      <c r="H176" s="7" t="n"/>
      <c r="I176" s="7" t="n"/>
      <c r="J176" s="7" t="n"/>
      <c r="K176" s="8" t="n"/>
      <c r="L176" s="9">
        <f>IF(AND($H176="",OR($G176="",$I176="")),"",ROUND(((IF($H176="",$I176-$G176,$H176))-(MIN(IF($J176="",0,$J176),(IF($H176="",$I176-$G176,$H176))/2)))*(IF($K176="",'تنظیمات'!$B$2,$K176))/100,0))</f>
        <v/>
      </c>
      <c r="P176" s="10" t="n"/>
    </row>
    <row r="177">
      <c r="F177" s="6" t="n"/>
      <c r="G177" s="7" t="n"/>
      <c r="H177" s="7" t="n"/>
      <c r="I177" s="7" t="n"/>
      <c r="J177" s="7" t="n"/>
      <c r="K177" s="8" t="n"/>
      <c r="L177" s="9">
        <f>IF(AND($H177="",OR($G177="",$I177="")),"",ROUND(((IF($H177="",$I177-$G177,$H177))-(MIN(IF($J177="",0,$J177),(IF($H177="",$I177-$G177,$H177))/2)))*(IF($K177="",'تنظیمات'!$B$2,$K177))/100,0))</f>
        <v/>
      </c>
      <c r="P177" s="10" t="n"/>
    </row>
    <row r="178">
      <c r="F178" s="6" t="n"/>
      <c r="G178" s="7" t="n"/>
      <c r="H178" s="7" t="n"/>
      <c r="I178" s="7" t="n"/>
      <c r="J178" s="7" t="n"/>
      <c r="K178" s="8" t="n"/>
      <c r="L178" s="9">
        <f>IF(AND($H178="",OR($G178="",$I178="")),"",ROUND(((IF($H178="",$I178-$G178,$H178))-(MIN(IF($J178="",0,$J178),(IF($H178="",$I178-$G178,$H178))/2)))*(IF($K178="",'تنظیمات'!$B$2,$K178))/100,0))</f>
        <v/>
      </c>
      <c r="P178" s="10" t="n"/>
    </row>
    <row r="179">
      <c r="F179" s="6" t="n"/>
      <c r="G179" s="7" t="n"/>
      <c r="H179" s="7" t="n"/>
      <c r="I179" s="7" t="n"/>
      <c r="J179" s="7" t="n"/>
      <c r="K179" s="8" t="n"/>
      <c r="L179" s="9">
        <f>IF(AND($H179="",OR($G179="",$I179="")),"",ROUND(((IF($H179="",$I179-$G179,$H179))-(MIN(IF($J179="",0,$J179),(IF($H179="",$I179-$G179,$H179))/2)))*(IF($K179="",'تنظیمات'!$B$2,$K179))/100,0))</f>
        <v/>
      </c>
      <c r="P179" s="10" t="n"/>
    </row>
    <row r="180">
      <c r="F180" s="6" t="n"/>
      <c r="G180" s="7" t="n"/>
      <c r="H180" s="7" t="n"/>
      <c r="I180" s="7" t="n"/>
      <c r="J180" s="7" t="n"/>
      <c r="K180" s="8" t="n"/>
      <c r="L180" s="9">
        <f>IF(AND($H180="",OR($G180="",$I180="")),"",ROUND(((IF($H180="",$I180-$G180,$H180))-(MIN(IF($J180="",0,$J180),(IF($H180="",$I180-$G180,$H180))/2)))*(IF($K180="",'تنظیمات'!$B$2,$K180))/100,0))</f>
        <v/>
      </c>
      <c r="P180" s="10" t="n"/>
    </row>
    <row r="181">
      <c r="F181" s="6" t="n"/>
      <c r="G181" s="7" t="n"/>
      <c r="H181" s="7" t="n"/>
      <c r="I181" s="7" t="n"/>
      <c r="J181" s="7" t="n"/>
      <c r="K181" s="8" t="n"/>
      <c r="L181" s="9">
        <f>IF(AND($H181="",OR($G181="",$I181="")),"",ROUND(((IF($H181="",$I181-$G181,$H181))-(MIN(IF($J181="",0,$J181),(IF($H181="",$I181-$G181,$H181))/2)))*(IF($K181="",'تنظیمات'!$B$2,$K181))/100,0))</f>
        <v/>
      </c>
      <c r="P181" s="10" t="n"/>
    </row>
    <row r="182">
      <c r="F182" s="6" t="n"/>
      <c r="G182" s="7" t="n"/>
      <c r="H182" s="7" t="n"/>
      <c r="I182" s="7" t="n"/>
      <c r="J182" s="7" t="n"/>
      <c r="K182" s="8" t="n"/>
      <c r="L182" s="9">
        <f>IF(AND($H182="",OR($G182="",$I182="")),"",ROUND(((IF($H182="",$I182-$G182,$H182))-(MIN(IF($J182="",0,$J182),(IF($H182="",$I182-$G182,$H182))/2)))*(IF($K182="",'تنظیمات'!$B$2,$K182))/100,0))</f>
        <v/>
      </c>
      <c r="P182" s="10" t="n"/>
    </row>
    <row r="183">
      <c r="F183" s="6" t="n"/>
      <c r="G183" s="7" t="n"/>
      <c r="H183" s="7" t="n"/>
      <c r="I183" s="7" t="n"/>
      <c r="J183" s="7" t="n"/>
      <c r="K183" s="8" t="n"/>
      <c r="L183" s="9">
        <f>IF(AND($H183="",OR($G183="",$I183="")),"",ROUND(((IF($H183="",$I183-$G183,$H183))-(MIN(IF($J183="",0,$J183),(IF($H183="",$I183-$G183,$H183))/2)))*(IF($K183="",'تنظیمات'!$B$2,$K183))/100,0))</f>
        <v/>
      </c>
      <c r="P183" s="10" t="n"/>
    </row>
    <row r="184">
      <c r="F184" s="6" t="n"/>
      <c r="G184" s="7" t="n"/>
      <c r="H184" s="7" t="n"/>
      <c r="I184" s="7" t="n"/>
      <c r="J184" s="7" t="n"/>
      <c r="K184" s="8" t="n"/>
      <c r="L184" s="9">
        <f>IF(AND($H184="",OR($G184="",$I184="")),"",ROUND(((IF($H184="",$I184-$G184,$H184))-(MIN(IF($J184="",0,$J184),(IF($H184="",$I184-$G184,$H184))/2)))*(IF($K184="",'تنظیمات'!$B$2,$K184))/100,0))</f>
        <v/>
      </c>
      <c r="P184" s="10" t="n"/>
    </row>
    <row r="185">
      <c r="F185" s="6" t="n"/>
      <c r="G185" s="7" t="n"/>
      <c r="H185" s="7" t="n"/>
      <c r="I185" s="7" t="n"/>
      <c r="J185" s="7" t="n"/>
      <c r="K185" s="8" t="n"/>
      <c r="L185" s="9">
        <f>IF(AND($H185="",OR($G185="",$I185="")),"",ROUND(((IF($H185="",$I185-$G185,$H185))-(MIN(IF($J185="",0,$J185),(IF($H185="",$I185-$G185,$H185))/2)))*(IF($K185="",'تنظیمات'!$B$2,$K185))/100,0))</f>
        <v/>
      </c>
      <c r="P185" s="10" t="n"/>
    </row>
    <row r="186">
      <c r="F186" s="6" t="n"/>
      <c r="G186" s="7" t="n"/>
      <c r="H186" s="7" t="n"/>
      <c r="I186" s="7" t="n"/>
      <c r="J186" s="7" t="n"/>
      <c r="K186" s="8" t="n"/>
      <c r="L186" s="9">
        <f>IF(AND($H186="",OR($G186="",$I186="")),"",ROUND(((IF($H186="",$I186-$G186,$H186))-(MIN(IF($J186="",0,$J186),(IF($H186="",$I186-$G186,$H186))/2)))*(IF($K186="",'تنظیمات'!$B$2,$K186))/100,0))</f>
        <v/>
      </c>
      <c r="P186" s="10" t="n"/>
    </row>
    <row r="187">
      <c r="F187" s="6" t="n"/>
      <c r="G187" s="7" t="n"/>
      <c r="H187" s="7" t="n"/>
      <c r="I187" s="7" t="n"/>
      <c r="J187" s="7" t="n"/>
      <c r="K187" s="8" t="n"/>
      <c r="L187" s="9">
        <f>IF(AND($H187="",OR($G187="",$I187="")),"",ROUND(((IF($H187="",$I187-$G187,$H187))-(MIN(IF($J187="",0,$J187),(IF($H187="",$I187-$G187,$H187))/2)))*(IF($K187="",'تنظیمات'!$B$2,$K187))/100,0))</f>
        <v/>
      </c>
      <c r="P187" s="10" t="n"/>
    </row>
    <row r="188">
      <c r="F188" s="6" t="n"/>
      <c r="G188" s="7" t="n"/>
      <c r="H188" s="7" t="n"/>
      <c r="I188" s="7" t="n"/>
      <c r="J188" s="7" t="n"/>
      <c r="K188" s="8" t="n"/>
      <c r="L188" s="9">
        <f>IF(AND($H188="",OR($G188="",$I188="")),"",ROUND(((IF($H188="",$I188-$G188,$H188))-(MIN(IF($J188="",0,$J188),(IF($H188="",$I188-$G188,$H188))/2)))*(IF($K188="",'تنظیمات'!$B$2,$K188))/100,0))</f>
        <v/>
      </c>
      <c r="P188" s="10" t="n"/>
    </row>
    <row r="189">
      <c r="F189" s="6" t="n"/>
      <c r="G189" s="7" t="n"/>
      <c r="H189" s="7" t="n"/>
      <c r="I189" s="7" t="n"/>
      <c r="J189" s="7" t="n"/>
      <c r="K189" s="8" t="n"/>
      <c r="L189" s="9">
        <f>IF(AND($H189="",OR($G189="",$I189="")),"",ROUND(((IF($H189="",$I189-$G189,$H189))-(MIN(IF($J189="",0,$J189),(IF($H189="",$I189-$G189,$H189))/2)))*(IF($K189="",'تنظیمات'!$B$2,$K189))/100,0))</f>
        <v/>
      </c>
      <c r="P189" s="10" t="n"/>
    </row>
    <row r="190">
      <c r="F190" s="6" t="n"/>
      <c r="G190" s="7" t="n"/>
      <c r="H190" s="7" t="n"/>
      <c r="I190" s="7" t="n"/>
      <c r="J190" s="7" t="n"/>
      <c r="K190" s="8" t="n"/>
      <c r="L190" s="9">
        <f>IF(AND($H190="",OR($G190="",$I190="")),"",ROUND(((IF($H190="",$I190-$G190,$H190))-(MIN(IF($J190="",0,$J190),(IF($H190="",$I190-$G190,$H190))/2)))*(IF($K190="",'تنظیمات'!$B$2,$K190))/100,0))</f>
        <v/>
      </c>
      <c r="P190" s="10" t="n"/>
    </row>
    <row r="191">
      <c r="F191" s="6" t="n"/>
      <c r="G191" s="7" t="n"/>
      <c r="H191" s="7" t="n"/>
      <c r="I191" s="7" t="n"/>
      <c r="J191" s="7" t="n"/>
      <c r="K191" s="8" t="n"/>
      <c r="L191" s="9">
        <f>IF(AND($H191="",OR($G191="",$I191="")),"",ROUND(((IF($H191="",$I191-$G191,$H191))-(MIN(IF($J191="",0,$J191),(IF($H191="",$I191-$G191,$H191))/2)))*(IF($K191="",'تنظیمات'!$B$2,$K191))/100,0))</f>
        <v/>
      </c>
      <c r="P191" s="10" t="n"/>
    </row>
    <row r="192">
      <c r="F192" s="6" t="n"/>
      <c r="G192" s="7" t="n"/>
      <c r="H192" s="7" t="n"/>
      <c r="I192" s="7" t="n"/>
      <c r="J192" s="7" t="n"/>
      <c r="K192" s="8" t="n"/>
      <c r="L192" s="9">
        <f>IF(AND($H192="",OR($G192="",$I192="")),"",ROUND(((IF($H192="",$I192-$G192,$H192))-(MIN(IF($J192="",0,$J192),(IF($H192="",$I192-$G192,$H192))/2)))*(IF($K192="",'تنظیمات'!$B$2,$K192))/100,0))</f>
        <v/>
      </c>
      <c r="P192" s="10" t="n"/>
    </row>
    <row r="193">
      <c r="F193" s="6" t="n"/>
      <c r="G193" s="7" t="n"/>
      <c r="H193" s="7" t="n"/>
      <c r="I193" s="7" t="n"/>
      <c r="J193" s="7" t="n"/>
      <c r="K193" s="8" t="n"/>
      <c r="L193" s="9">
        <f>IF(AND($H193="",OR($G193="",$I193="")),"",ROUND(((IF($H193="",$I193-$G193,$H193))-(MIN(IF($J193="",0,$J193),(IF($H193="",$I193-$G193,$H193))/2)))*(IF($K193="",'تنظیمات'!$B$2,$K193))/100,0))</f>
        <v/>
      </c>
      <c r="P193" s="10" t="n"/>
    </row>
    <row r="194">
      <c r="F194" s="6" t="n"/>
      <c r="G194" s="7" t="n"/>
      <c r="H194" s="7" t="n"/>
      <c r="I194" s="7" t="n"/>
      <c r="J194" s="7" t="n"/>
      <c r="K194" s="8" t="n"/>
      <c r="L194" s="9">
        <f>IF(AND($H194="",OR($G194="",$I194="")),"",ROUND(((IF($H194="",$I194-$G194,$H194))-(MIN(IF($J194="",0,$J194),(IF($H194="",$I194-$G194,$H194))/2)))*(IF($K194="",'تنظیمات'!$B$2,$K194))/100,0))</f>
        <v/>
      </c>
      <c r="P194" s="10" t="n"/>
    </row>
    <row r="195">
      <c r="F195" s="6" t="n"/>
      <c r="G195" s="7" t="n"/>
      <c r="H195" s="7" t="n"/>
      <c r="I195" s="7" t="n"/>
      <c r="J195" s="7" t="n"/>
      <c r="K195" s="8" t="n"/>
      <c r="L195" s="9">
        <f>IF(AND($H195="",OR($G195="",$I195="")),"",ROUND(((IF($H195="",$I195-$G195,$H195))-(MIN(IF($J195="",0,$J195),(IF($H195="",$I195-$G195,$H195))/2)))*(IF($K195="",'تنظیمات'!$B$2,$K195))/100,0))</f>
        <v/>
      </c>
      <c r="P195" s="10" t="n"/>
    </row>
    <row r="196">
      <c r="F196" s="6" t="n"/>
      <c r="G196" s="7" t="n"/>
      <c r="H196" s="7" t="n"/>
      <c r="I196" s="7" t="n"/>
      <c r="J196" s="7" t="n"/>
      <c r="K196" s="8" t="n"/>
      <c r="L196" s="9">
        <f>IF(AND($H196="",OR($G196="",$I196="")),"",ROUND(((IF($H196="",$I196-$G196,$H196))-(MIN(IF($J196="",0,$J196),(IF($H196="",$I196-$G196,$H196))/2)))*(IF($K196="",'تنظیمات'!$B$2,$K196))/100,0))</f>
        <v/>
      </c>
      <c r="P196" s="10" t="n"/>
    </row>
    <row r="197">
      <c r="F197" s="6" t="n"/>
      <c r="G197" s="7" t="n"/>
      <c r="H197" s="7" t="n"/>
      <c r="I197" s="7" t="n"/>
      <c r="J197" s="7" t="n"/>
      <c r="K197" s="8" t="n"/>
      <c r="L197" s="9">
        <f>IF(AND($H197="",OR($G197="",$I197="")),"",ROUND(((IF($H197="",$I197-$G197,$H197))-(MIN(IF($J197="",0,$J197),(IF($H197="",$I197-$G197,$H197))/2)))*(IF($K197="",'تنظیمات'!$B$2,$K197))/100,0))</f>
        <v/>
      </c>
      <c r="P197" s="10" t="n"/>
    </row>
    <row r="198">
      <c r="F198" s="6" t="n"/>
      <c r="G198" s="7" t="n"/>
      <c r="H198" s="7" t="n"/>
      <c r="I198" s="7" t="n"/>
      <c r="J198" s="7" t="n"/>
      <c r="K198" s="8" t="n"/>
      <c r="L198" s="9">
        <f>IF(AND($H198="",OR($G198="",$I198="")),"",ROUND(((IF($H198="",$I198-$G198,$H198))-(MIN(IF($J198="",0,$J198),(IF($H198="",$I198-$G198,$H198))/2)))*(IF($K198="",'تنظیمات'!$B$2,$K198))/100,0))</f>
        <v/>
      </c>
      <c r="P198" s="10" t="n"/>
    </row>
    <row r="199">
      <c r="F199" s="6" t="n"/>
      <c r="G199" s="7" t="n"/>
      <c r="H199" s="7" t="n"/>
      <c r="I199" s="7" t="n"/>
      <c r="J199" s="7" t="n"/>
      <c r="K199" s="8" t="n"/>
      <c r="L199" s="9">
        <f>IF(AND($H199="",OR($G199="",$I199="")),"",ROUND(((IF($H199="",$I199-$G199,$H199))-(MIN(IF($J199="",0,$J199),(IF($H199="",$I199-$G199,$H199))/2)))*(IF($K199="",'تنظیمات'!$B$2,$K199))/100,0))</f>
        <v/>
      </c>
      <c r="P199" s="10" t="n"/>
    </row>
    <row r="200">
      <c r="F200" s="6" t="n"/>
      <c r="G200" s="7" t="n"/>
      <c r="H200" s="7" t="n"/>
      <c r="I200" s="7" t="n"/>
      <c r="J200" s="7" t="n"/>
      <c r="K200" s="8" t="n"/>
      <c r="L200" s="9">
        <f>IF(AND($H200="",OR($G200="",$I200="")),"",ROUND(((IF($H200="",$I200-$G200,$H200))-(MIN(IF($J200="",0,$J200),(IF($H200="",$I200-$G200,$H200))/2)))*(IF($K200="",'تنظیمات'!$B$2,$K200))/100,0))</f>
        <v/>
      </c>
      <c r="P200" s="10" t="n"/>
    </row>
    <row r="201">
      <c r="F201" s="6" t="n"/>
      <c r="G201" s="7" t="n"/>
      <c r="H201" s="7" t="n"/>
      <c r="I201" s="7" t="n"/>
      <c r="J201" s="7" t="n"/>
      <c r="K201" s="8" t="n"/>
      <c r="L201" s="9">
        <f>IF(AND($H201="",OR($G201="",$I201="")),"",ROUND(((IF($H201="",$I201-$G201,$H201))-(MIN(IF($J201="",0,$J201),(IF($H201="",$I201-$G201,$H201))/2)))*(IF($K201="",'تنظیمات'!$B$2,$K201))/100,0))</f>
        <v/>
      </c>
      <c r="P201" s="10" t="n"/>
    </row>
    <row r="202">
      <c r="F202" s="6" t="n"/>
      <c r="G202" s="7" t="n"/>
      <c r="H202" s="7" t="n"/>
      <c r="I202" s="7" t="n"/>
      <c r="J202" s="7" t="n"/>
      <c r="K202" s="8" t="n"/>
      <c r="L202" s="9">
        <f>IF(AND($H202="",OR($G202="",$I202="")),"",ROUND(((IF($H202="",$I202-$G202,$H202))-(MIN(IF($J202="",0,$J202),(IF($H202="",$I202-$G202,$H202))/2)))*(IF($K202="",'تنظیمات'!$B$2,$K202))/100,0))</f>
        <v/>
      </c>
      <c r="P202" s="10" t="n"/>
    </row>
    <row r="203">
      <c r="F203" s="6" t="n"/>
      <c r="G203" s="7" t="n"/>
      <c r="H203" s="7" t="n"/>
      <c r="I203" s="7" t="n"/>
      <c r="J203" s="7" t="n"/>
      <c r="K203" s="8" t="n"/>
      <c r="L203" s="9">
        <f>IF(AND($H203="",OR($G203="",$I203="")),"",ROUND(((IF($H203="",$I203-$G203,$H203))-(MIN(IF($J203="",0,$J203),(IF($H203="",$I203-$G203,$H203))/2)))*(IF($K203="",'تنظیمات'!$B$2,$K203))/100,0))</f>
        <v/>
      </c>
      <c r="P203" s="10" t="n"/>
    </row>
    <row r="204">
      <c r="F204" s="6" t="n"/>
      <c r="G204" s="7" t="n"/>
      <c r="H204" s="7" t="n"/>
      <c r="I204" s="7" t="n"/>
      <c r="J204" s="7" t="n"/>
      <c r="K204" s="8" t="n"/>
      <c r="L204" s="9">
        <f>IF(AND($H204="",OR($G204="",$I204="")),"",ROUND(((IF($H204="",$I204-$G204,$H204))-(MIN(IF($J204="",0,$J204),(IF($H204="",$I204-$G204,$H204))/2)))*(IF($K204="",'تنظیمات'!$B$2,$K204))/100,0))</f>
        <v/>
      </c>
      <c r="P204" s="10" t="n"/>
    </row>
    <row r="205">
      <c r="F205" s="6" t="n"/>
      <c r="G205" s="7" t="n"/>
      <c r="H205" s="7" t="n"/>
      <c r="I205" s="7" t="n"/>
      <c r="J205" s="7" t="n"/>
      <c r="K205" s="8" t="n"/>
      <c r="L205" s="9">
        <f>IF(AND($H205="",OR($G205="",$I205="")),"",ROUND(((IF($H205="",$I205-$G205,$H205))-(MIN(IF($J205="",0,$J205),(IF($H205="",$I205-$G205,$H205))/2)))*(IF($K205="",'تنظیمات'!$B$2,$K205))/100,0))</f>
        <v/>
      </c>
      <c r="P205" s="10" t="n"/>
    </row>
    <row r="206">
      <c r="F206" s="6" t="n"/>
      <c r="G206" s="7" t="n"/>
      <c r="H206" s="7" t="n"/>
      <c r="I206" s="7" t="n"/>
      <c r="J206" s="7" t="n"/>
      <c r="K206" s="8" t="n"/>
      <c r="L206" s="9">
        <f>IF(AND($H206="",OR($G206="",$I206="")),"",ROUND(((IF($H206="",$I206-$G206,$H206))-(MIN(IF($J206="",0,$J206),(IF($H206="",$I206-$G206,$H206))/2)))*(IF($K206="",'تنظیمات'!$B$2,$K206))/100,0))</f>
        <v/>
      </c>
      <c r="P206" s="10" t="n"/>
    </row>
    <row r="207">
      <c r="F207" s="6" t="n"/>
      <c r="G207" s="7" t="n"/>
      <c r="H207" s="7" t="n"/>
      <c r="I207" s="7" t="n"/>
      <c r="J207" s="7" t="n"/>
      <c r="K207" s="8" t="n"/>
      <c r="L207" s="9">
        <f>IF(AND($H207="",OR($G207="",$I207="")),"",ROUND(((IF($H207="",$I207-$G207,$H207))-(MIN(IF($J207="",0,$J207),(IF($H207="",$I207-$G207,$H207))/2)))*(IF($K207="",'تنظیمات'!$B$2,$K207))/100,0))</f>
        <v/>
      </c>
      <c r="P207" s="10" t="n"/>
    </row>
    <row r="208">
      <c r="F208" s="6" t="n"/>
      <c r="G208" s="7" t="n"/>
      <c r="H208" s="7" t="n"/>
      <c r="I208" s="7" t="n"/>
      <c r="J208" s="7" t="n"/>
      <c r="K208" s="8" t="n"/>
      <c r="L208" s="9">
        <f>IF(AND($H208="",OR($G208="",$I208="")),"",ROUND(((IF($H208="",$I208-$G208,$H208))-(MIN(IF($J208="",0,$J208),(IF($H208="",$I208-$G208,$H208))/2)))*(IF($K208="",'تنظیمات'!$B$2,$K208))/100,0))</f>
        <v/>
      </c>
      <c r="P208" s="10" t="n"/>
    </row>
    <row r="209">
      <c r="F209" s="6" t="n"/>
      <c r="G209" s="7" t="n"/>
      <c r="H209" s="7" t="n"/>
      <c r="I209" s="7" t="n"/>
      <c r="J209" s="7" t="n"/>
      <c r="K209" s="8" t="n"/>
      <c r="L209" s="9">
        <f>IF(AND($H209="",OR($G209="",$I209="")),"",ROUND(((IF($H209="",$I209-$G209,$H209))-(MIN(IF($J209="",0,$J209),(IF($H209="",$I209-$G209,$H209))/2)))*(IF($K209="",'تنظیمات'!$B$2,$K209))/100,0))</f>
        <v/>
      </c>
      <c r="P209" s="10" t="n"/>
    </row>
    <row r="210">
      <c r="F210" s="6" t="n"/>
      <c r="G210" s="7" t="n"/>
      <c r="H210" s="7" t="n"/>
      <c r="I210" s="7" t="n"/>
      <c r="J210" s="7" t="n"/>
      <c r="K210" s="8" t="n"/>
      <c r="L210" s="9">
        <f>IF(AND($H210="",OR($G210="",$I210="")),"",ROUND(((IF($H210="",$I210-$G210,$H210))-(MIN(IF($J210="",0,$J210),(IF($H210="",$I210-$G210,$H210))/2)))*(IF($K210="",'تنظیمات'!$B$2,$K210))/100,0))</f>
        <v/>
      </c>
      <c r="P210" s="10" t="n"/>
    </row>
    <row r="211">
      <c r="F211" s="6" t="n"/>
      <c r="G211" s="7" t="n"/>
      <c r="H211" s="7" t="n"/>
      <c r="I211" s="7" t="n"/>
      <c r="J211" s="7" t="n"/>
      <c r="K211" s="8" t="n"/>
      <c r="L211" s="9">
        <f>IF(AND($H211="",OR($G211="",$I211="")),"",ROUND(((IF($H211="",$I211-$G211,$H211))-(MIN(IF($J211="",0,$J211),(IF($H211="",$I211-$G211,$H211))/2)))*(IF($K211="",'تنظیمات'!$B$2,$K211))/100,0))</f>
        <v/>
      </c>
      <c r="P211" s="10" t="n"/>
    </row>
    <row r="212">
      <c r="F212" s="6" t="n"/>
      <c r="G212" s="7" t="n"/>
      <c r="H212" s="7" t="n"/>
      <c r="I212" s="7" t="n"/>
      <c r="J212" s="7" t="n"/>
      <c r="K212" s="8" t="n"/>
      <c r="L212" s="9">
        <f>IF(AND($H212="",OR($G212="",$I212="")),"",ROUND(((IF($H212="",$I212-$G212,$H212))-(MIN(IF($J212="",0,$J212),(IF($H212="",$I212-$G212,$H212))/2)))*(IF($K212="",'تنظیمات'!$B$2,$K212))/100,0))</f>
        <v/>
      </c>
      <c r="P212" s="10" t="n"/>
    </row>
    <row r="213">
      <c r="F213" s="6" t="n"/>
      <c r="G213" s="7" t="n"/>
      <c r="H213" s="7" t="n"/>
      <c r="I213" s="7" t="n"/>
      <c r="J213" s="7" t="n"/>
      <c r="K213" s="8" t="n"/>
      <c r="L213" s="9">
        <f>IF(AND($H213="",OR($G213="",$I213="")),"",ROUND(((IF($H213="",$I213-$G213,$H213))-(MIN(IF($J213="",0,$J213),(IF($H213="",$I213-$G213,$H213))/2)))*(IF($K213="",'تنظیمات'!$B$2,$K213))/100,0))</f>
        <v/>
      </c>
      <c r="P213" s="10" t="n"/>
    </row>
    <row r="214">
      <c r="F214" s="6" t="n"/>
      <c r="G214" s="7" t="n"/>
      <c r="H214" s="7" t="n"/>
      <c r="I214" s="7" t="n"/>
      <c r="J214" s="7" t="n"/>
      <c r="K214" s="8" t="n"/>
      <c r="L214" s="9">
        <f>IF(AND($H214="",OR($G214="",$I214="")),"",ROUND(((IF($H214="",$I214-$G214,$H214))-(MIN(IF($J214="",0,$J214),(IF($H214="",$I214-$G214,$H214))/2)))*(IF($K214="",'تنظیمات'!$B$2,$K214))/100,0))</f>
        <v/>
      </c>
      <c r="P214" s="10" t="n"/>
    </row>
    <row r="215">
      <c r="F215" s="6" t="n"/>
      <c r="G215" s="7" t="n"/>
      <c r="H215" s="7" t="n"/>
      <c r="I215" s="7" t="n"/>
      <c r="J215" s="7" t="n"/>
      <c r="K215" s="8" t="n"/>
      <c r="L215" s="9">
        <f>IF(AND($H215="",OR($G215="",$I215="")),"",ROUND(((IF($H215="",$I215-$G215,$H215))-(MIN(IF($J215="",0,$J215),(IF($H215="",$I215-$G215,$H215))/2)))*(IF($K215="",'تنظیمات'!$B$2,$K215))/100,0))</f>
        <v/>
      </c>
      <c r="P215" s="10" t="n"/>
    </row>
    <row r="216">
      <c r="F216" s="6" t="n"/>
      <c r="G216" s="7" t="n"/>
      <c r="H216" s="7" t="n"/>
      <c r="I216" s="7" t="n"/>
      <c r="J216" s="7" t="n"/>
      <c r="K216" s="8" t="n"/>
      <c r="L216" s="9">
        <f>IF(AND($H216="",OR($G216="",$I216="")),"",ROUND(((IF($H216="",$I216-$G216,$H216))-(MIN(IF($J216="",0,$J216),(IF($H216="",$I216-$G216,$H216))/2)))*(IF($K216="",'تنظیمات'!$B$2,$K216))/100,0))</f>
        <v/>
      </c>
      <c r="P216" s="10" t="n"/>
    </row>
    <row r="217">
      <c r="F217" s="6" t="n"/>
      <c r="G217" s="7" t="n"/>
      <c r="H217" s="7" t="n"/>
      <c r="I217" s="7" t="n"/>
      <c r="J217" s="7" t="n"/>
      <c r="K217" s="8" t="n"/>
      <c r="L217" s="9">
        <f>IF(AND($H217="",OR($G217="",$I217="")),"",ROUND(((IF($H217="",$I217-$G217,$H217))-(MIN(IF($J217="",0,$J217),(IF($H217="",$I217-$G217,$H217))/2)))*(IF($K217="",'تنظیمات'!$B$2,$K217))/100,0))</f>
        <v/>
      </c>
      <c r="P217" s="10" t="n"/>
    </row>
    <row r="218">
      <c r="F218" s="6" t="n"/>
      <c r="G218" s="7" t="n"/>
      <c r="H218" s="7" t="n"/>
      <c r="I218" s="7" t="n"/>
      <c r="J218" s="7" t="n"/>
      <c r="K218" s="8" t="n"/>
      <c r="L218" s="9">
        <f>IF(AND($H218="",OR($G218="",$I218="")),"",ROUND(((IF($H218="",$I218-$G218,$H218))-(MIN(IF($J218="",0,$J218),(IF($H218="",$I218-$G218,$H218))/2)))*(IF($K218="",'تنظیمات'!$B$2,$K218))/100,0))</f>
        <v/>
      </c>
      <c r="P218" s="10" t="n"/>
    </row>
    <row r="219">
      <c r="F219" s="6" t="n"/>
      <c r="G219" s="7" t="n"/>
      <c r="H219" s="7" t="n"/>
      <c r="I219" s="7" t="n"/>
      <c r="J219" s="7" t="n"/>
      <c r="K219" s="8" t="n"/>
      <c r="L219" s="9">
        <f>IF(AND($H219="",OR($G219="",$I219="")),"",ROUND(((IF($H219="",$I219-$G219,$H219))-(MIN(IF($J219="",0,$J219),(IF($H219="",$I219-$G219,$H219))/2)))*(IF($K219="",'تنظیمات'!$B$2,$K219))/100,0))</f>
        <v/>
      </c>
      <c r="P219" s="10" t="n"/>
    </row>
    <row r="220">
      <c r="F220" s="6" t="n"/>
      <c r="G220" s="7" t="n"/>
      <c r="H220" s="7" t="n"/>
      <c r="I220" s="7" t="n"/>
      <c r="J220" s="7" t="n"/>
      <c r="K220" s="8" t="n"/>
      <c r="L220" s="9">
        <f>IF(AND($H220="",OR($G220="",$I220="")),"",ROUND(((IF($H220="",$I220-$G220,$H220))-(MIN(IF($J220="",0,$J220),(IF($H220="",$I220-$G220,$H220))/2)))*(IF($K220="",'تنظیمات'!$B$2,$K220))/100,0))</f>
        <v/>
      </c>
      <c r="P220" s="10" t="n"/>
    </row>
    <row r="221">
      <c r="F221" s="6" t="n"/>
      <c r="G221" s="7" t="n"/>
      <c r="H221" s="7" t="n"/>
      <c r="I221" s="7" t="n"/>
      <c r="J221" s="7" t="n"/>
      <c r="K221" s="8" t="n"/>
      <c r="L221" s="9">
        <f>IF(AND($H221="",OR($G221="",$I221="")),"",ROUND(((IF($H221="",$I221-$G221,$H221))-(MIN(IF($J221="",0,$J221),(IF($H221="",$I221-$G221,$H221))/2)))*(IF($K221="",'تنظیمات'!$B$2,$K221))/100,0))</f>
        <v/>
      </c>
      <c r="P221" s="10" t="n"/>
    </row>
    <row r="222">
      <c r="F222" s="6" t="n"/>
      <c r="G222" s="7" t="n"/>
      <c r="H222" s="7" t="n"/>
      <c r="I222" s="7" t="n"/>
      <c r="J222" s="7" t="n"/>
      <c r="K222" s="8" t="n"/>
      <c r="L222" s="9">
        <f>IF(AND($H222="",OR($G222="",$I222="")),"",ROUND(((IF($H222="",$I222-$G222,$H222))-(MIN(IF($J222="",0,$J222),(IF($H222="",$I222-$G222,$H222))/2)))*(IF($K222="",'تنظیمات'!$B$2,$K222))/100,0))</f>
        <v/>
      </c>
      <c r="P222" s="10" t="n"/>
    </row>
    <row r="223">
      <c r="F223" s="6" t="n"/>
      <c r="G223" s="7" t="n"/>
      <c r="H223" s="7" t="n"/>
      <c r="I223" s="7" t="n"/>
      <c r="J223" s="7" t="n"/>
      <c r="K223" s="8" t="n"/>
      <c r="L223" s="9">
        <f>IF(AND($H223="",OR($G223="",$I223="")),"",ROUND(((IF($H223="",$I223-$G223,$H223))-(MIN(IF($J223="",0,$J223),(IF($H223="",$I223-$G223,$H223))/2)))*(IF($K223="",'تنظیمات'!$B$2,$K223))/100,0))</f>
        <v/>
      </c>
      <c r="P223" s="10" t="n"/>
    </row>
    <row r="224">
      <c r="F224" s="6" t="n"/>
      <c r="G224" s="7" t="n"/>
      <c r="H224" s="7" t="n"/>
      <c r="I224" s="7" t="n"/>
      <c r="J224" s="7" t="n"/>
      <c r="K224" s="8" t="n"/>
      <c r="L224" s="9">
        <f>IF(AND($H224="",OR($G224="",$I224="")),"",ROUND(((IF($H224="",$I224-$G224,$H224))-(MIN(IF($J224="",0,$J224),(IF($H224="",$I224-$G224,$H224))/2)))*(IF($K224="",'تنظیمات'!$B$2,$K224))/100,0))</f>
        <v/>
      </c>
      <c r="P224" s="10" t="n"/>
    </row>
    <row r="225">
      <c r="F225" s="6" t="n"/>
      <c r="G225" s="7" t="n"/>
      <c r="H225" s="7" t="n"/>
      <c r="I225" s="7" t="n"/>
      <c r="J225" s="7" t="n"/>
      <c r="K225" s="8" t="n"/>
      <c r="L225" s="9">
        <f>IF(AND($H225="",OR($G225="",$I225="")),"",ROUND(((IF($H225="",$I225-$G225,$H225))-(MIN(IF($J225="",0,$J225),(IF($H225="",$I225-$G225,$H225))/2)))*(IF($K225="",'تنظیمات'!$B$2,$K225))/100,0))</f>
        <v/>
      </c>
      <c r="P225" s="10" t="n"/>
    </row>
    <row r="226">
      <c r="F226" s="6" t="n"/>
      <c r="G226" s="7" t="n"/>
      <c r="H226" s="7" t="n"/>
      <c r="I226" s="7" t="n"/>
      <c r="J226" s="7" t="n"/>
      <c r="K226" s="8" t="n"/>
      <c r="L226" s="9">
        <f>IF(AND($H226="",OR($G226="",$I226="")),"",ROUND(((IF($H226="",$I226-$G226,$H226))-(MIN(IF($J226="",0,$J226),(IF($H226="",$I226-$G226,$H226))/2)))*(IF($K226="",'تنظیمات'!$B$2,$K226))/100,0))</f>
        <v/>
      </c>
      <c r="P226" s="10" t="n"/>
    </row>
    <row r="227">
      <c r="F227" s="6" t="n"/>
      <c r="G227" s="7" t="n"/>
      <c r="H227" s="7" t="n"/>
      <c r="I227" s="7" t="n"/>
      <c r="J227" s="7" t="n"/>
      <c r="K227" s="8" t="n"/>
      <c r="L227" s="9">
        <f>IF(AND($H227="",OR($G227="",$I227="")),"",ROUND(((IF($H227="",$I227-$G227,$H227))-(MIN(IF($J227="",0,$J227),(IF($H227="",$I227-$G227,$H227))/2)))*(IF($K227="",'تنظیمات'!$B$2,$K227))/100,0))</f>
        <v/>
      </c>
      <c r="P227" s="10" t="n"/>
    </row>
    <row r="228">
      <c r="F228" s="6" t="n"/>
      <c r="G228" s="7" t="n"/>
      <c r="H228" s="7" t="n"/>
      <c r="I228" s="7" t="n"/>
      <c r="J228" s="7" t="n"/>
      <c r="K228" s="8" t="n"/>
      <c r="L228" s="9">
        <f>IF(AND($H228="",OR($G228="",$I228="")),"",ROUND(((IF($H228="",$I228-$G228,$H228))-(MIN(IF($J228="",0,$J228),(IF($H228="",$I228-$G228,$H228))/2)))*(IF($K228="",'تنظیمات'!$B$2,$K228))/100,0))</f>
        <v/>
      </c>
      <c r="P228" s="10" t="n"/>
    </row>
    <row r="229">
      <c r="F229" s="6" t="n"/>
      <c r="G229" s="7" t="n"/>
      <c r="H229" s="7" t="n"/>
      <c r="I229" s="7" t="n"/>
      <c r="J229" s="7" t="n"/>
      <c r="K229" s="8" t="n"/>
      <c r="L229" s="9">
        <f>IF(AND($H229="",OR($G229="",$I229="")),"",ROUND(((IF($H229="",$I229-$G229,$H229))-(MIN(IF($J229="",0,$J229),(IF($H229="",$I229-$G229,$H229))/2)))*(IF($K229="",'تنظیمات'!$B$2,$K229))/100,0))</f>
        <v/>
      </c>
      <c r="P229" s="10" t="n"/>
    </row>
    <row r="230">
      <c r="F230" s="6" t="n"/>
      <c r="G230" s="7" t="n"/>
      <c r="H230" s="7" t="n"/>
      <c r="I230" s="7" t="n"/>
      <c r="J230" s="7" t="n"/>
      <c r="K230" s="8" t="n"/>
      <c r="L230" s="9">
        <f>IF(AND($H230="",OR($G230="",$I230="")),"",ROUND(((IF($H230="",$I230-$G230,$H230))-(MIN(IF($J230="",0,$J230),(IF($H230="",$I230-$G230,$H230))/2)))*(IF($K230="",'تنظیمات'!$B$2,$K230))/100,0))</f>
        <v/>
      </c>
      <c r="P230" s="10" t="n"/>
    </row>
    <row r="231">
      <c r="F231" s="6" t="n"/>
      <c r="G231" s="7" t="n"/>
      <c r="H231" s="7" t="n"/>
      <c r="I231" s="7" t="n"/>
      <c r="J231" s="7" t="n"/>
      <c r="K231" s="8" t="n"/>
      <c r="L231" s="9">
        <f>IF(AND($H231="",OR($G231="",$I231="")),"",ROUND(((IF($H231="",$I231-$G231,$H231))-(MIN(IF($J231="",0,$J231),(IF($H231="",$I231-$G231,$H231))/2)))*(IF($K231="",'تنظیمات'!$B$2,$K231))/100,0))</f>
        <v/>
      </c>
      <c r="P231" s="10" t="n"/>
    </row>
    <row r="232">
      <c r="F232" s="6" t="n"/>
      <c r="G232" s="7" t="n"/>
      <c r="H232" s="7" t="n"/>
      <c r="I232" s="7" t="n"/>
      <c r="J232" s="7" t="n"/>
      <c r="K232" s="8" t="n"/>
      <c r="L232" s="9">
        <f>IF(AND($H232="",OR($G232="",$I232="")),"",ROUND(((IF($H232="",$I232-$G232,$H232))-(MIN(IF($J232="",0,$J232),(IF($H232="",$I232-$G232,$H232))/2)))*(IF($K232="",'تنظیمات'!$B$2,$K232))/100,0))</f>
        <v/>
      </c>
      <c r="P232" s="10" t="n"/>
    </row>
    <row r="233">
      <c r="F233" s="6" t="n"/>
      <c r="G233" s="7" t="n"/>
      <c r="H233" s="7" t="n"/>
      <c r="I233" s="7" t="n"/>
      <c r="J233" s="7" t="n"/>
      <c r="K233" s="8" t="n"/>
      <c r="L233" s="9">
        <f>IF(AND($H233="",OR($G233="",$I233="")),"",ROUND(((IF($H233="",$I233-$G233,$H233))-(MIN(IF($J233="",0,$J233),(IF($H233="",$I233-$G233,$H233))/2)))*(IF($K233="",'تنظیمات'!$B$2,$K233))/100,0))</f>
        <v/>
      </c>
      <c r="P233" s="10" t="n"/>
    </row>
    <row r="234">
      <c r="F234" s="6" t="n"/>
      <c r="G234" s="7" t="n"/>
      <c r="H234" s="7" t="n"/>
      <c r="I234" s="7" t="n"/>
      <c r="J234" s="7" t="n"/>
      <c r="K234" s="8" t="n"/>
      <c r="L234" s="9">
        <f>IF(AND($H234="",OR($G234="",$I234="")),"",ROUND(((IF($H234="",$I234-$G234,$H234))-(MIN(IF($J234="",0,$J234),(IF($H234="",$I234-$G234,$H234))/2)))*(IF($K234="",'تنظیمات'!$B$2,$K234))/100,0))</f>
        <v/>
      </c>
      <c r="P234" s="10" t="n"/>
    </row>
    <row r="235">
      <c r="F235" s="6" t="n"/>
      <c r="G235" s="7" t="n"/>
      <c r="H235" s="7" t="n"/>
      <c r="I235" s="7" t="n"/>
      <c r="J235" s="7" t="n"/>
      <c r="K235" s="8" t="n"/>
      <c r="L235" s="9">
        <f>IF(AND($H235="",OR($G235="",$I235="")),"",ROUND(((IF($H235="",$I235-$G235,$H235))-(MIN(IF($J235="",0,$J235),(IF($H235="",$I235-$G235,$H235))/2)))*(IF($K235="",'تنظیمات'!$B$2,$K235))/100,0))</f>
        <v/>
      </c>
      <c r="P235" s="10" t="n"/>
    </row>
    <row r="236">
      <c r="F236" s="6" t="n"/>
      <c r="G236" s="7" t="n"/>
      <c r="H236" s="7" t="n"/>
      <c r="I236" s="7" t="n"/>
      <c r="J236" s="7" t="n"/>
      <c r="K236" s="8" t="n"/>
      <c r="L236" s="9">
        <f>IF(AND($H236="",OR($G236="",$I236="")),"",ROUND(((IF($H236="",$I236-$G236,$H236))-(MIN(IF($J236="",0,$J236),(IF($H236="",$I236-$G236,$H236))/2)))*(IF($K236="",'تنظیمات'!$B$2,$K236))/100,0))</f>
        <v/>
      </c>
      <c r="P236" s="10" t="n"/>
    </row>
    <row r="237">
      <c r="F237" s="6" t="n"/>
      <c r="G237" s="7" t="n"/>
      <c r="H237" s="7" t="n"/>
      <c r="I237" s="7" t="n"/>
      <c r="J237" s="7" t="n"/>
      <c r="K237" s="8" t="n"/>
      <c r="L237" s="9">
        <f>IF(AND($H237="",OR($G237="",$I237="")),"",ROUND(((IF($H237="",$I237-$G237,$H237))-(MIN(IF($J237="",0,$J237),(IF($H237="",$I237-$G237,$H237))/2)))*(IF($K237="",'تنظیمات'!$B$2,$K237))/100,0))</f>
        <v/>
      </c>
      <c r="P237" s="10" t="n"/>
    </row>
    <row r="238">
      <c r="F238" s="6" t="n"/>
      <c r="G238" s="7" t="n"/>
      <c r="H238" s="7" t="n"/>
      <c r="I238" s="7" t="n"/>
      <c r="J238" s="7" t="n"/>
      <c r="K238" s="8" t="n"/>
      <c r="L238" s="9">
        <f>IF(AND($H238="",OR($G238="",$I238="")),"",ROUND(((IF($H238="",$I238-$G238,$H238))-(MIN(IF($J238="",0,$J238),(IF($H238="",$I238-$G238,$H238))/2)))*(IF($K238="",'تنظیمات'!$B$2,$K238))/100,0))</f>
        <v/>
      </c>
      <c r="P238" s="10" t="n"/>
    </row>
    <row r="239">
      <c r="F239" s="6" t="n"/>
      <c r="G239" s="7" t="n"/>
      <c r="H239" s="7" t="n"/>
      <c r="I239" s="7" t="n"/>
      <c r="J239" s="7" t="n"/>
      <c r="K239" s="8" t="n"/>
      <c r="L239" s="9">
        <f>IF(AND($H239="",OR($G239="",$I239="")),"",ROUND(((IF($H239="",$I239-$G239,$H239))-(MIN(IF($J239="",0,$J239),(IF($H239="",$I239-$G239,$H239))/2)))*(IF($K239="",'تنظیمات'!$B$2,$K239))/100,0))</f>
        <v/>
      </c>
      <c r="P239" s="10" t="n"/>
    </row>
    <row r="240">
      <c r="F240" s="6" t="n"/>
      <c r="G240" s="7" t="n"/>
      <c r="H240" s="7" t="n"/>
      <c r="I240" s="7" t="n"/>
      <c r="J240" s="7" t="n"/>
      <c r="K240" s="8" t="n"/>
      <c r="L240" s="9">
        <f>IF(AND($H240="",OR($G240="",$I240="")),"",ROUND(((IF($H240="",$I240-$G240,$H240))-(MIN(IF($J240="",0,$J240),(IF($H240="",$I240-$G240,$H240))/2)))*(IF($K240="",'تنظیمات'!$B$2,$K240))/100,0))</f>
        <v/>
      </c>
      <c r="P240" s="10" t="n"/>
    </row>
    <row r="241">
      <c r="F241" s="6" t="n"/>
      <c r="G241" s="7" t="n"/>
      <c r="H241" s="7" t="n"/>
      <c r="I241" s="7" t="n"/>
      <c r="J241" s="7" t="n"/>
      <c r="K241" s="8" t="n"/>
      <c r="L241" s="9">
        <f>IF(AND($H241="",OR($G241="",$I241="")),"",ROUND(((IF($H241="",$I241-$G241,$H241))-(MIN(IF($J241="",0,$J241),(IF($H241="",$I241-$G241,$H241))/2)))*(IF($K241="",'تنظیمات'!$B$2,$K241))/100,0))</f>
        <v/>
      </c>
      <c r="P241" s="10" t="n"/>
    </row>
    <row r="242">
      <c r="F242" s="6" t="n"/>
      <c r="G242" s="7" t="n"/>
      <c r="H242" s="7" t="n"/>
      <c r="I242" s="7" t="n"/>
      <c r="J242" s="7" t="n"/>
      <c r="K242" s="8" t="n"/>
      <c r="L242" s="9">
        <f>IF(AND($H242="",OR($G242="",$I242="")),"",ROUND(((IF($H242="",$I242-$G242,$H242))-(MIN(IF($J242="",0,$J242),(IF($H242="",$I242-$G242,$H242))/2)))*(IF($K242="",'تنظیمات'!$B$2,$K242))/100,0))</f>
        <v/>
      </c>
      <c r="P242" s="10" t="n"/>
    </row>
    <row r="243">
      <c r="F243" s="6" t="n"/>
      <c r="G243" s="7" t="n"/>
      <c r="H243" s="7" t="n"/>
      <c r="I243" s="7" t="n"/>
      <c r="J243" s="7" t="n"/>
      <c r="K243" s="8" t="n"/>
      <c r="L243" s="9">
        <f>IF(AND($H243="",OR($G243="",$I243="")),"",ROUND(((IF($H243="",$I243-$G243,$H243))-(MIN(IF($J243="",0,$J243),(IF($H243="",$I243-$G243,$H243))/2)))*(IF($K243="",'تنظیمات'!$B$2,$K243))/100,0))</f>
        <v/>
      </c>
      <c r="P243" s="10" t="n"/>
    </row>
    <row r="244">
      <c r="F244" s="6" t="n"/>
      <c r="G244" s="7" t="n"/>
      <c r="H244" s="7" t="n"/>
      <c r="I244" s="7" t="n"/>
      <c r="J244" s="7" t="n"/>
      <c r="K244" s="8" t="n"/>
      <c r="L244" s="9">
        <f>IF(AND($H244="",OR($G244="",$I244="")),"",ROUND(((IF($H244="",$I244-$G244,$H244))-(MIN(IF($J244="",0,$J244),(IF($H244="",$I244-$G244,$H244))/2)))*(IF($K244="",'تنظیمات'!$B$2,$K244))/100,0))</f>
        <v/>
      </c>
      <c r="P244" s="10" t="n"/>
    </row>
    <row r="245">
      <c r="F245" s="6" t="n"/>
      <c r="G245" s="7" t="n"/>
      <c r="H245" s="7" t="n"/>
      <c r="I245" s="7" t="n"/>
      <c r="J245" s="7" t="n"/>
      <c r="K245" s="8" t="n"/>
      <c r="L245" s="9">
        <f>IF(AND($H245="",OR($G245="",$I245="")),"",ROUND(((IF($H245="",$I245-$G245,$H245))-(MIN(IF($J245="",0,$J245),(IF($H245="",$I245-$G245,$H245))/2)))*(IF($K245="",'تنظیمات'!$B$2,$K245))/100,0))</f>
        <v/>
      </c>
      <c r="P245" s="10" t="n"/>
    </row>
    <row r="246">
      <c r="F246" s="6" t="n"/>
      <c r="G246" s="7" t="n"/>
      <c r="H246" s="7" t="n"/>
      <c r="I246" s="7" t="n"/>
      <c r="J246" s="7" t="n"/>
      <c r="K246" s="8" t="n"/>
      <c r="L246" s="9">
        <f>IF(AND($H246="",OR($G246="",$I246="")),"",ROUND(((IF($H246="",$I246-$G246,$H246))-(MIN(IF($J246="",0,$J246),(IF($H246="",$I246-$G246,$H246))/2)))*(IF($K246="",'تنظیمات'!$B$2,$K246))/100,0))</f>
        <v/>
      </c>
      <c r="P246" s="10" t="n"/>
    </row>
    <row r="247">
      <c r="F247" s="6" t="n"/>
      <c r="G247" s="7" t="n"/>
      <c r="H247" s="7" t="n"/>
      <c r="I247" s="7" t="n"/>
      <c r="J247" s="7" t="n"/>
      <c r="K247" s="8" t="n"/>
      <c r="L247" s="9">
        <f>IF(AND($H247="",OR($G247="",$I247="")),"",ROUND(((IF($H247="",$I247-$G247,$H247))-(MIN(IF($J247="",0,$J247),(IF($H247="",$I247-$G247,$H247))/2)))*(IF($K247="",'تنظیمات'!$B$2,$K247))/100,0))</f>
        <v/>
      </c>
      <c r="P247" s="10" t="n"/>
    </row>
    <row r="248">
      <c r="F248" s="6" t="n"/>
      <c r="G248" s="7" t="n"/>
      <c r="H248" s="7" t="n"/>
      <c r="I248" s="7" t="n"/>
      <c r="J248" s="7" t="n"/>
      <c r="K248" s="8" t="n"/>
      <c r="L248" s="9">
        <f>IF(AND($H248="",OR($G248="",$I248="")),"",ROUND(((IF($H248="",$I248-$G248,$H248))-(MIN(IF($J248="",0,$J248),(IF($H248="",$I248-$G248,$H248))/2)))*(IF($K248="",'تنظیمات'!$B$2,$K248))/100,0))</f>
        <v/>
      </c>
      <c r="P248" s="10" t="n"/>
    </row>
    <row r="249">
      <c r="F249" s="6" t="n"/>
      <c r="G249" s="7" t="n"/>
      <c r="H249" s="7" t="n"/>
      <c r="I249" s="7" t="n"/>
      <c r="J249" s="7" t="n"/>
      <c r="K249" s="8" t="n"/>
      <c r="L249" s="9">
        <f>IF(AND($H249="",OR($G249="",$I249="")),"",ROUND(((IF($H249="",$I249-$G249,$H249))-(MIN(IF($J249="",0,$J249),(IF($H249="",$I249-$G249,$H249))/2)))*(IF($K249="",'تنظیمات'!$B$2,$K249))/100,0))</f>
        <v/>
      </c>
      <c r="P249" s="10" t="n"/>
    </row>
    <row r="250">
      <c r="F250" s="6" t="n"/>
      <c r="G250" s="7" t="n"/>
      <c r="H250" s="7" t="n"/>
      <c r="I250" s="7" t="n"/>
      <c r="J250" s="7" t="n"/>
      <c r="K250" s="8" t="n"/>
      <c r="L250" s="9">
        <f>IF(AND($H250="",OR($G250="",$I250="")),"",ROUND(((IF($H250="",$I250-$G250,$H250))-(MIN(IF($J250="",0,$J250),(IF($H250="",$I250-$G250,$H250))/2)))*(IF($K250="",'تنظیمات'!$B$2,$K250))/100,0))</f>
        <v/>
      </c>
      <c r="P250" s="10" t="n"/>
    </row>
    <row r="251">
      <c r="F251" s="6" t="n"/>
      <c r="G251" s="7" t="n"/>
      <c r="H251" s="7" t="n"/>
      <c r="I251" s="7" t="n"/>
      <c r="J251" s="7" t="n"/>
      <c r="K251" s="8" t="n"/>
      <c r="L251" s="9">
        <f>IF(AND($H251="",OR($G251="",$I251="")),"",ROUND(((IF($H251="",$I251-$G251,$H251))-(MIN(IF($J251="",0,$J251),(IF($H251="",$I251-$G251,$H251))/2)))*(IF($K251="",'تنظیمات'!$B$2,$K251))/100,0))</f>
        <v/>
      </c>
      <c r="P251" s="10" t="n"/>
    </row>
    <row r="252">
      <c r="F252" s="6" t="n"/>
      <c r="G252" s="7" t="n"/>
      <c r="H252" s="7" t="n"/>
      <c r="I252" s="7" t="n"/>
      <c r="J252" s="7" t="n"/>
      <c r="K252" s="8" t="n"/>
      <c r="L252" s="9">
        <f>IF(AND($H252="",OR($G252="",$I252="")),"",ROUND(((IF($H252="",$I252-$G252,$H252))-(MIN(IF($J252="",0,$J252),(IF($H252="",$I252-$G252,$H252))/2)))*(IF($K252="",'تنظیمات'!$B$2,$K252))/100,0))</f>
        <v/>
      </c>
      <c r="P252" s="10" t="n"/>
    </row>
    <row r="253">
      <c r="F253" s="6" t="n"/>
      <c r="G253" s="7" t="n"/>
      <c r="H253" s="7" t="n"/>
      <c r="I253" s="7" t="n"/>
      <c r="J253" s="7" t="n"/>
      <c r="K253" s="8" t="n"/>
      <c r="L253" s="9">
        <f>IF(AND($H253="",OR($G253="",$I253="")),"",ROUND(((IF($H253="",$I253-$G253,$H253))-(MIN(IF($J253="",0,$J253),(IF($H253="",$I253-$G253,$H253))/2)))*(IF($K253="",'تنظیمات'!$B$2,$K253))/100,0))</f>
        <v/>
      </c>
      <c r="P253" s="10" t="n"/>
    </row>
    <row r="254">
      <c r="F254" s="6" t="n"/>
      <c r="G254" s="7" t="n"/>
      <c r="H254" s="7" t="n"/>
      <c r="I254" s="7" t="n"/>
      <c r="J254" s="7" t="n"/>
      <c r="K254" s="8" t="n"/>
      <c r="L254" s="9">
        <f>IF(AND($H254="",OR($G254="",$I254="")),"",ROUND(((IF($H254="",$I254-$G254,$H254))-(MIN(IF($J254="",0,$J254),(IF($H254="",$I254-$G254,$H254))/2)))*(IF($K254="",'تنظیمات'!$B$2,$K254))/100,0))</f>
        <v/>
      </c>
      <c r="P254" s="10" t="n"/>
    </row>
    <row r="255">
      <c r="F255" s="6" t="n"/>
      <c r="G255" s="7" t="n"/>
      <c r="H255" s="7" t="n"/>
      <c r="I255" s="7" t="n"/>
      <c r="J255" s="7" t="n"/>
      <c r="K255" s="8" t="n"/>
      <c r="L255" s="9">
        <f>IF(AND($H255="",OR($G255="",$I255="")),"",ROUND(((IF($H255="",$I255-$G255,$H255))-(MIN(IF($J255="",0,$J255),(IF($H255="",$I255-$G255,$H255))/2)))*(IF($K255="",'تنظیمات'!$B$2,$K255))/100,0))</f>
        <v/>
      </c>
      <c r="P255" s="10" t="n"/>
    </row>
    <row r="256">
      <c r="F256" s="6" t="n"/>
      <c r="G256" s="7" t="n"/>
      <c r="H256" s="7" t="n"/>
      <c r="I256" s="7" t="n"/>
      <c r="J256" s="7" t="n"/>
      <c r="K256" s="8" t="n"/>
      <c r="L256" s="9">
        <f>IF(AND($H256="",OR($G256="",$I256="")),"",ROUND(((IF($H256="",$I256-$G256,$H256))-(MIN(IF($J256="",0,$J256),(IF($H256="",$I256-$G256,$H256))/2)))*(IF($K256="",'تنظیمات'!$B$2,$K256))/100,0))</f>
        <v/>
      </c>
      <c r="P256" s="10" t="n"/>
    </row>
    <row r="257">
      <c r="F257" s="6" t="n"/>
      <c r="G257" s="7" t="n"/>
      <c r="H257" s="7" t="n"/>
      <c r="I257" s="7" t="n"/>
      <c r="J257" s="7" t="n"/>
      <c r="K257" s="8" t="n"/>
      <c r="L257" s="9">
        <f>IF(AND($H257="",OR($G257="",$I257="")),"",ROUND(((IF($H257="",$I257-$G257,$H257))-(MIN(IF($J257="",0,$J257),(IF($H257="",$I257-$G257,$H257))/2)))*(IF($K257="",'تنظیمات'!$B$2,$K257))/100,0))</f>
        <v/>
      </c>
      <c r="P257" s="10" t="n"/>
    </row>
    <row r="258">
      <c r="F258" s="6" t="n"/>
      <c r="G258" s="7" t="n"/>
      <c r="H258" s="7" t="n"/>
      <c r="I258" s="7" t="n"/>
      <c r="J258" s="7" t="n"/>
      <c r="K258" s="8" t="n"/>
      <c r="L258" s="9">
        <f>IF(AND($H258="",OR($G258="",$I258="")),"",ROUND(((IF($H258="",$I258-$G258,$H258))-(MIN(IF($J258="",0,$J258),(IF($H258="",$I258-$G258,$H258))/2)))*(IF($K258="",'تنظیمات'!$B$2,$K258))/100,0))</f>
        <v/>
      </c>
      <c r="P258" s="10" t="n"/>
    </row>
    <row r="259">
      <c r="F259" s="6" t="n"/>
      <c r="G259" s="7" t="n"/>
      <c r="H259" s="7" t="n"/>
      <c r="I259" s="7" t="n"/>
      <c r="J259" s="7" t="n"/>
      <c r="K259" s="8" t="n"/>
      <c r="L259" s="9">
        <f>IF(AND($H259="",OR($G259="",$I259="")),"",ROUND(((IF($H259="",$I259-$G259,$H259))-(MIN(IF($J259="",0,$J259),(IF($H259="",$I259-$G259,$H259))/2)))*(IF($K259="",'تنظیمات'!$B$2,$K259))/100,0))</f>
        <v/>
      </c>
      <c r="P259" s="10" t="n"/>
    </row>
    <row r="260">
      <c r="F260" s="6" t="n"/>
      <c r="G260" s="7" t="n"/>
      <c r="H260" s="7" t="n"/>
      <c r="I260" s="7" t="n"/>
      <c r="J260" s="7" t="n"/>
      <c r="K260" s="8" t="n"/>
      <c r="L260" s="9">
        <f>IF(AND($H260="",OR($G260="",$I260="")),"",ROUND(((IF($H260="",$I260-$G260,$H260))-(MIN(IF($J260="",0,$J260),(IF($H260="",$I260-$G260,$H260))/2)))*(IF($K260="",'تنظیمات'!$B$2,$K260))/100,0))</f>
        <v/>
      </c>
      <c r="P260" s="10" t="n"/>
    </row>
    <row r="261">
      <c r="F261" s="6" t="n"/>
      <c r="G261" s="7" t="n"/>
      <c r="H261" s="7" t="n"/>
      <c r="I261" s="7" t="n"/>
      <c r="J261" s="7" t="n"/>
      <c r="K261" s="8" t="n"/>
      <c r="L261" s="9">
        <f>IF(AND($H261="",OR($G261="",$I261="")),"",ROUND(((IF($H261="",$I261-$G261,$H261))-(MIN(IF($J261="",0,$J261),(IF($H261="",$I261-$G261,$H261))/2)))*(IF($K261="",'تنظیمات'!$B$2,$K261))/100,0))</f>
        <v/>
      </c>
      <c r="P261" s="10" t="n"/>
    </row>
    <row r="262">
      <c r="F262" s="6" t="n"/>
      <c r="G262" s="7" t="n"/>
      <c r="H262" s="7" t="n"/>
      <c r="I262" s="7" t="n"/>
      <c r="J262" s="7" t="n"/>
      <c r="K262" s="8" t="n"/>
      <c r="L262" s="9">
        <f>IF(AND($H262="",OR($G262="",$I262="")),"",ROUND(((IF($H262="",$I262-$G262,$H262))-(MIN(IF($J262="",0,$J262),(IF($H262="",$I262-$G262,$H262))/2)))*(IF($K262="",'تنظیمات'!$B$2,$K262))/100,0))</f>
        <v/>
      </c>
      <c r="P262" s="10" t="n"/>
    </row>
    <row r="263">
      <c r="F263" s="6" t="n"/>
      <c r="G263" s="7" t="n"/>
      <c r="H263" s="7" t="n"/>
      <c r="I263" s="7" t="n"/>
      <c r="J263" s="7" t="n"/>
      <c r="K263" s="8" t="n"/>
      <c r="L263" s="9">
        <f>IF(AND($H263="",OR($G263="",$I263="")),"",ROUND(((IF($H263="",$I263-$G263,$H263))-(MIN(IF($J263="",0,$J263),(IF($H263="",$I263-$G263,$H263))/2)))*(IF($K263="",'تنظیمات'!$B$2,$K263))/100,0))</f>
        <v/>
      </c>
      <c r="P263" s="10" t="n"/>
    </row>
    <row r="264">
      <c r="F264" s="6" t="n"/>
      <c r="G264" s="7" t="n"/>
      <c r="H264" s="7" t="n"/>
      <c r="I264" s="7" t="n"/>
      <c r="J264" s="7" t="n"/>
      <c r="K264" s="8" t="n"/>
      <c r="L264" s="9">
        <f>IF(AND($H264="",OR($G264="",$I264="")),"",ROUND(((IF($H264="",$I264-$G264,$H264))-(MIN(IF($J264="",0,$J264),(IF($H264="",$I264-$G264,$H264))/2)))*(IF($K264="",'تنظیمات'!$B$2,$K264))/100,0))</f>
        <v/>
      </c>
      <c r="P264" s="10" t="n"/>
    </row>
    <row r="265">
      <c r="F265" s="6" t="n"/>
      <c r="G265" s="7" t="n"/>
      <c r="H265" s="7" t="n"/>
      <c r="I265" s="7" t="n"/>
      <c r="J265" s="7" t="n"/>
      <c r="K265" s="8" t="n"/>
      <c r="L265" s="9">
        <f>IF(AND($H265="",OR($G265="",$I265="")),"",ROUND(((IF($H265="",$I265-$G265,$H265))-(MIN(IF($J265="",0,$J265),(IF($H265="",$I265-$G265,$H265))/2)))*(IF($K265="",'تنظیمات'!$B$2,$K265))/100,0))</f>
        <v/>
      </c>
      <c r="P265" s="10" t="n"/>
    </row>
    <row r="266">
      <c r="F266" s="6" t="n"/>
      <c r="G266" s="7" t="n"/>
      <c r="H266" s="7" t="n"/>
      <c r="I266" s="7" t="n"/>
      <c r="J266" s="7" t="n"/>
      <c r="K266" s="8" t="n"/>
      <c r="L266" s="9">
        <f>IF(AND($H266="",OR($G266="",$I266="")),"",ROUND(((IF($H266="",$I266-$G266,$H266))-(MIN(IF($J266="",0,$J266),(IF($H266="",$I266-$G266,$H266))/2)))*(IF($K266="",'تنظیمات'!$B$2,$K266))/100,0))</f>
        <v/>
      </c>
      <c r="P266" s="10" t="n"/>
    </row>
    <row r="267">
      <c r="F267" s="6" t="n"/>
      <c r="G267" s="7" t="n"/>
      <c r="H267" s="7" t="n"/>
      <c r="I267" s="7" t="n"/>
      <c r="J267" s="7" t="n"/>
      <c r="K267" s="8" t="n"/>
      <c r="L267" s="9">
        <f>IF(AND($H267="",OR($G267="",$I267="")),"",ROUND(((IF($H267="",$I267-$G267,$H267))-(MIN(IF($J267="",0,$J267),(IF($H267="",$I267-$G267,$H267))/2)))*(IF($K267="",'تنظیمات'!$B$2,$K267))/100,0))</f>
        <v/>
      </c>
      <c r="P267" s="10" t="n"/>
    </row>
    <row r="268">
      <c r="F268" s="6" t="n"/>
      <c r="G268" s="7" t="n"/>
      <c r="H268" s="7" t="n"/>
      <c r="I268" s="7" t="n"/>
      <c r="J268" s="7" t="n"/>
      <c r="K268" s="8" t="n"/>
      <c r="L268" s="9">
        <f>IF(AND($H268="",OR($G268="",$I268="")),"",ROUND(((IF($H268="",$I268-$G268,$H268))-(MIN(IF($J268="",0,$J268),(IF($H268="",$I268-$G268,$H268))/2)))*(IF($K268="",'تنظیمات'!$B$2,$K268))/100,0))</f>
        <v/>
      </c>
      <c r="P268" s="10" t="n"/>
    </row>
    <row r="269">
      <c r="F269" s="6" t="n"/>
      <c r="G269" s="7" t="n"/>
      <c r="H269" s="7" t="n"/>
      <c r="I269" s="7" t="n"/>
      <c r="J269" s="7" t="n"/>
      <c r="K269" s="8" t="n"/>
      <c r="L269" s="9">
        <f>IF(AND($H269="",OR($G269="",$I269="")),"",ROUND(((IF($H269="",$I269-$G269,$H269))-(MIN(IF($J269="",0,$J269),(IF($H269="",$I269-$G269,$H269))/2)))*(IF($K269="",'تنظیمات'!$B$2,$K269))/100,0))</f>
        <v/>
      </c>
      <c r="P269" s="10" t="n"/>
    </row>
    <row r="270">
      <c r="F270" s="6" t="n"/>
      <c r="G270" s="7" t="n"/>
      <c r="H270" s="7" t="n"/>
      <c r="I270" s="7" t="n"/>
      <c r="J270" s="7" t="n"/>
      <c r="K270" s="8" t="n"/>
      <c r="L270" s="9">
        <f>IF(AND($H270="",OR($G270="",$I270="")),"",ROUND(((IF($H270="",$I270-$G270,$H270))-(MIN(IF($J270="",0,$J270),(IF($H270="",$I270-$G270,$H270))/2)))*(IF($K270="",'تنظیمات'!$B$2,$K270))/100,0))</f>
        <v/>
      </c>
      <c r="P270" s="10" t="n"/>
    </row>
    <row r="271">
      <c r="F271" s="6" t="n"/>
      <c r="G271" s="7" t="n"/>
      <c r="H271" s="7" t="n"/>
      <c r="I271" s="7" t="n"/>
      <c r="J271" s="7" t="n"/>
      <c r="K271" s="8" t="n"/>
      <c r="L271" s="9">
        <f>IF(AND($H271="",OR($G271="",$I271="")),"",ROUND(((IF($H271="",$I271-$G271,$H271))-(MIN(IF($J271="",0,$J271),(IF($H271="",$I271-$G271,$H271))/2)))*(IF($K271="",'تنظیمات'!$B$2,$K271))/100,0))</f>
        <v/>
      </c>
      <c r="P271" s="10" t="n"/>
    </row>
    <row r="272">
      <c r="F272" s="6" t="n"/>
      <c r="G272" s="7" t="n"/>
      <c r="H272" s="7" t="n"/>
      <c r="I272" s="7" t="n"/>
      <c r="J272" s="7" t="n"/>
      <c r="K272" s="8" t="n"/>
      <c r="L272" s="9">
        <f>IF(AND($H272="",OR($G272="",$I272="")),"",ROUND(((IF($H272="",$I272-$G272,$H272))-(MIN(IF($J272="",0,$J272),(IF($H272="",$I272-$G272,$H272))/2)))*(IF($K272="",'تنظیمات'!$B$2,$K272))/100,0))</f>
        <v/>
      </c>
      <c r="P272" s="10" t="n"/>
    </row>
    <row r="273">
      <c r="F273" s="6" t="n"/>
      <c r="G273" s="7" t="n"/>
      <c r="H273" s="7" t="n"/>
      <c r="I273" s="7" t="n"/>
      <c r="J273" s="7" t="n"/>
      <c r="K273" s="8" t="n"/>
      <c r="L273" s="9">
        <f>IF(AND($H273="",OR($G273="",$I273="")),"",ROUND(((IF($H273="",$I273-$G273,$H273))-(MIN(IF($J273="",0,$J273),(IF($H273="",$I273-$G273,$H273))/2)))*(IF($K273="",'تنظیمات'!$B$2,$K273))/100,0))</f>
        <v/>
      </c>
      <c r="P273" s="10" t="n"/>
    </row>
    <row r="274">
      <c r="F274" s="6" t="n"/>
      <c r="G274" s="7" t="n"/>
      <c r="H274" s="7" t="n"/>
      <c r="I274" s="7" t="n"/>
      <c r="J274" s="7" t="n"/>
      <c r="K274" s="8" t="n"/>
      <c r="L274" s="9">
        <f>IF(AND($H274="",OR($G274="",$I274="")),"",ROUND(((IF($H274="",$I274-$G274,$H274))-(MIN(IF($J274="",0,$J274),(IF($H274="",$I274-$G274,$H274))/2)))*(IF($K274="",'تنظیمات'!$B$2,$K274))/100,0))</f>
        <v/>
      </c>
      <c r="P274" s="10" t="n"/>
    </row>
    <row r="275">
      <c r="F275" s="6" t="n"/>
      <c r="G275" s="7" t="n"/>
      <c r="H275" s="7" t="n"/>
      <c r="I275" s="7" t="n"/>
      <c r="J275" s="7" t="n"/>
      <c r="K275" s="8" t="n"/>
      <c r="L275" s="9">
        <f>IF(AND($H275="",OR($G275="",$I275="")),"",ROUND(((IF($H275="",$I275-$G275,$H275))-(MIN(IF($J275="",0,$J275),(IF($H275="",$I275-$G275,$H275))/2)))*(IF($K275="",'تنظیمات'!$B$2,$K275))/100,0))</f>
        <v/>
      </c>
      <c r="P275" s="10" t="n"/>
    </row>
    <row r="276">
      <c r="F276" s="6" t="n"/>
      <c r="G276" s="7" t="n"/>
      <c r="H276" s="7" t="n"/>
      <c r="I276" s="7" t="n"/>
      <c r="J276" s="7" t="n"/>
      <c r="K276" s="8" t="n"/>
      <c r="L276" s="9">
        <f>IF(AND($H276="",OR($G276="",$I276="")),"",ROUND(((IF($H276="",$I276-$G276,$H276))-(MIN(IF($J276="",0,$J276),(IF($H276="",$I276-$G276,$H276))/2)))*(IF($K276="",'تنظیمات'!$B$2,$K276))/100,0))</f>
        <v/>
      </c>
      <c r="P276" s="10" t="n"/>
    </row>
    <row r="277">
      <c r="F277" s="6" t="n"/>
      <c r="G277" s="7" t="n"/>
      <c r="H277" s="7" t="n"/>
      <c r="I277" s="7" t="n"/>
      <c r="J277" s="7" t="n"/>
      <c r="K277" s="8" t="n"/>
      <c r="L277" s="9">
        <f>IF(AND($H277="",OR($G277="",$I277="")),"",ROUND(((IF($H277="",$I277-$G277,$H277))-(MIN(IF($J277="",0,$J277),(IF($H277="",$I277-$G277,$H277))/2)))*(IF($K277="",'تنظیمات'!$B$2,$K277))/100,0))</f>
        <v/>
      </c>
      <c r="P277" s="10" t="n"/>
    </row>
    <row r="278">
      <c r="F278" s="6" t="n"/>
      <c r="G278" s="7" t="n"/>
      <c r="H278" s="7" t="n"/>
      <c r="I278" s="7" t="n"/>
      <c r="J278" s="7" t="n"/>
      <c r="K278" s="8" t="n"/>
      <c r="L278" s="9">
        <f>IF(AND($H278="",OR($G278="",$I278="")),"",ROUND(((IF($H278="",$I278-$G278,$H278))-(MIN(IF($J278="",0,$J278),(IF($H278="",$I278-$G278,$H278))/2)))*(IF($K278="",'تنظیمات'!$B$2,$K278))/100,0))</f>
        <v/>
      </c>
      <c r="P278" s="10" t="n"/>
    </row>
    <row r="279">
      <c r="F279" s="6" t="n"/>
      <c r="G279" s="7" t="n"/>
      <c r="H279" s="7" t="n"/>
      <c r="I279" s="7" t="n"/>
      <c r="J279" s="7" t="n"/>
      <c r="K279" s="8" t="n"/>
      <c r="L279" s="9">
        <f>IF(AND($H279="",OR($G279="",$I279="")),"",ROUND(((IF($H279="",$I279-$G279,$H279))-(MIN(IF($J279="",0,$J279),(IF($H279="",$I279-$G279,$H279))/2)))*(IF($K279="",'تنظیمات'!$B$2,$K279))/100,0))</f>
        <v/>
      </c>
      <c r="P279" s="10" t="n"/>
    </row>
    <row r="280">
      <c r="F280" s="6" t="n"/>
      <c r="G280" s="7" t="n"/>
      <c r="H280" s="7" t="n"/>
      <c r="I280" s="7" t="n"/>
      <c r="J280" s="7" t="n"/>
      <c r="K280" s="8" t="n"/>
      <c r="L280" s="9">
        <f>IF(AND($H280="",OR($G280="",$I280="")),"",ROUND(((IF($H280="",$I280-$G280,$H280))-(MIN(IF($J280="",0,$J280),(IF($H280="",$I280-$G280,$H280))/2)))*(IF($K280="",'تنظیمات'!$B$2,$K280))/100,0))</f>
        <v/>
      </c>
      <c r="P280" s="10" t="n"/>
    </row>
    <row r="281">
      <c r="F281" s="6" t="n"/>
      <c r="G281" s="7" t="n"/>
      <c r="H281" s="7" t="n"/>
      <c r="I281" s="7" t="n"/>
      <c r="J281" s="7" t="n"/>
      <c r="K281" s="8" t="n"/>
      <c r="L281" s="9">
        <f>IF(AND($H281="",OR($G281="",$I281="")),"",ROUND(((IF($H281="",$I281-$G281,$H281))-(MIN(IF($J281="",0,$J281),(IF($H281="",$I281-$G281,$H281))/2)))*(IF($K281="",'تنظیمات'!$B$2,$K281))/100,0))</f>
        <v/>
      </c>
      <c r="P281" s="10" t="n"/>
    </row>
    <row r="282">
      <c r="F282" s="6" t="n"/>
      <c r="G282" s="7" t="n"/>
      <c r="H282" s="7" t="n"/>
      <c r="I282" s="7" t="n"/>
      <c r="J282" s="7" t="n"/>
      <c r="K282" s="8" t="n"/>
      <c r="L282" s="9">
        <f>IF(AND($H282="",OR($G282="",$I282="")),"",ROUND(((IF($H282="",$I282-$G282,$H282))-(MIN(IF($J282="",0,$J282),(IF($H282="",$I282-$G282,$H282))/2)))*(IF($K282="",'تنظیمات'!$B$2,$K282))/100,0))</f>
        <v/>
      </c>
      <c r="P282" s="10" t="n"/>
    </row>
    <row r="283">
      <c r="F283" s="6" t="n"/>
      <c r="G283" s="7" t="n"/>
      <c r="H283" s="7" t="n"/>
      <c r="I283" s="7" t="n"/>
      <c r="J283" s="7" t="n"/>
      <c r="K283" s="8" t="n"/>
      <c r="L283" s="9">
        <f>IF(AND($H283="",OR($G283="",$I283="")),"",ROUND(((IF($H283="",$I283-$G283,$H283))-(MIN(IF($J283="",0,$J283),(IF($H283="",$I283-$G283,$H283))/2)))*(IF($K283="",'تنظیمات'!$B$2,$K283))/100,0))</f>
        <v/>
      </c>
      <c r="P283" s="10" t="n"/>
    </row>
    <row r="284">
      <c r="F284" s="6" t="n"/>
      <c r="G284" s="7" t="n"/>
      <c r="H284" s="7" t="n"/>
      <c r="I284" s="7" t="n"/>
      <c r="J284" s="7" t="n"/>
      <c r="K284" s="8" t="n"/>
      <c r="L284" s="9">
        <f>IF(AND($H284="",OR($G284="",$I284="")),"",ROUND(((IF($H284="",$I284-$G284,$H284))-(MIN(IF($J284="",0,$J284),(IF($H284="",$I284-$G284,$H284))/2)))*(IF($K284="",'تنظیمات'!$B$2,$K284))/100,0))</f>
        <v/>
      </c>
      <c r="P284" s="10" t="n"/>
    </row>
    <row r="285">
      <c r="F285" s="6" t="n"/>
      <c r="G285" s="7" t="n"/>
      <c r="H285" s="7" t="n"/>
      <c r="I285" s="7" t="n"/>
      <c r="J285" s="7" t="n"/>
      <c r="K285" s="8" t="n"/>
      <c r="L285" s="9">
        <f>IF(AND($H285="",OR($G285="",$I285="")),"",ROUND(((IF($H285="",$I285-$G285,$H285))-(MIN(IF($J285="",0,$J285),(IF($H285="",$I285-$G285,$H285))/2)))*(IF($K285="",'تنظیمات'!$B$2,$K285))/100,0))</f>
        <v/>
      </c>
      <c r="P285" s="10" t="n"/>
    </row>
    <row r="286">
      <c r="F286" s="6" t="n"/>
      <c r="G286" s="7" t="n"/>
      <c r="H286" s="7" t="n"/>
      <c r="I286" s="7" t="n"/>
      <c r="J286" s="7" t="n"/>
      <c r="K286" s="8" t="n"/>
      <c r="L286" s="9">
        <f>IF(AND($H286="",OR($G286="",$I286="")),"",ROUND(((IF($H286="",$I286-$G286,$H286))-(MIN(IF($J286="",0,$J286),(IF($H286="",$I286-$G286,$H286))/2)))*(IF($K286="",'تنظیمات'!$B$2,$K286))/100,0))</f>
        <v/>
      </c>
      <c r="P286" s="10" t="n"/>
    </row>
    <row r="287">
      <c r="F287" s="6" t="n"/>
      <c r="G287" s="7" t="n"/>
      <c r="H287" s="7" t="n"/>
      <c r="I287" s="7" t="n"/>
      <c r="J287" s="7" t="n"/>
      <c r="K287" s="8" t="n"/>
      <c r="L287" s="9">
        <f>IF(AND($H287="",OR($G287="",$I287="")),"",ROUND(((IF($H287="",$I287-$G287,$H287))-(MIN(IF($J287="",0,$J287),(IF($H287="",$I287-$G287,$H287))/2)))*(IF($K287="",'تنظیمات'!$B$2,$K287))/100,0))</f>
        <v/>
      </c>
      <c r="P287" s="10" t="n"/>
    </row>
    <row r="288">
      <c r="F288" s="6" t="n"/>
      <c r="G288" s="7" t="n"/>
      <c r="H288" s="7" t="n"/>
      <c r="I288" s="7" t="n"/>
      <c r="J288" s="7" t="n"/>
      <c r="K288" s="8" t="n"/>
      <c r="L288" s="9">
        <f>IF(AND($H288="",OR($G288="",$I288="")),"",ROUND(((IF($H288="",$I288-$G288,$H288))-(MIN(IF($J288="",0,$J288),(IF($H288="",$I288-$G288,$H288))/2)))*(IF($K288="",'تنظیمات'!$B$2,$K288))/100,0))</f>
        <v/>
      </c>
      <c r="P288" s="10" t="n"/>
    </row>
    <row r="289">
      <c r="F289" s="6" t="n"/>
      <c r="G289" s="7" t="n"/>
      <c r="H289" s="7" t="n"/>
      <c r="I289" s="7" t="n"/>
      <c r="J289" s="7" t="n"/>
      <c r="K289" s="8" t="n"/>
      <c r="L289" s="9">
        <f>IF(AND($H289="",OR($G289="",$I289="")),"",ROUND(((IF($H289="",$I289-$G289,$H289))-(MIN(IF($J289="",0,$J289),(IF($H289="",$I289-$G289,$H289))/2)))*(IF($K289="",'تنظیمات'!$B$2,$K289))/100,0))</f>
        <v/>
      </c>
      <c r="P289" s="10" t="n"/>
    </row>
    <row r="290">
      <c r="F290" s="6" t="n"/>
      <c r="G290" s="7" t="n"/>
      <c r="H290" s="7" t="n"/>
      <c r="I290" s="7" t="n"/>
      <c r="J290" s="7" t="n"/>
      <c r="K290" s="8" t="n"/>
      <c r="L290" s="9">
        <f>IF(AND($H290="",OR($G290="",$I290="")),"",ROUND(((IF($H290="",$I290-$G290,$H290))-(MIN(IF($J290="",0,$J290),(IF($H290="",$I290-$G290,$H290))/2)))*(IF($K290="",'تنظیمات'!$B$2,$K290))/100,0))</f>
        <v/>
      </c>
      <c r="P290" s="10" t="n"/>
    </row>
    <row r="291">
      <c r="F291" s="6" t="n"/>
      <c r="G291" s="7" t="n"/>
      <c r="H291" s="7" t="n"/>
      <c r="I291" s="7" t="n"/>
      <c r="J291" s="7" t="n"/>
      <c r="K291" s="8" t="n"/>
      <c r="L291" s="9">
        <f>IF(AND($H291="",OR($G291="",$I291="")),"",ROUND(((IF($H291="",$I291-$G291,$H291))-(MIN(IF($J291="",0,$J291),(IF($H291="",$I291-$G291,$H291))/2)))*(IF($K291="",'تنظیمات'!$B$2,$K291))/100,0))</f>
        <v/>
      </c>
      <c r="P291" s="10" t="n"/>
    </row>
    <row r="292">
      <c r="F292" s="6" t="n"/>
      <c r="G292" s="7" t="n"/>
      <c r="H292" s="7" t="n"/>
      <c r="I292" s="7" t="n"/>
      <c r="J292" s="7" t="n"/>
      <c r="K292" s="8" t="n"/>
      <c r="L292" s="9">
        <f>IF(AND($H292="",OR($G292="",$I292="")),"",ROUND(((IF($H292="",$I292-$G292,$H292))-(MIN(IF($J292="",0,$J292),(IF($H292="",$I292-$G292,$H292))/2)))*(IF($K292="",'تنظیمات'!$B$2,$K292))/100,0))</f>
        <v/>
      </c>
      <c r="P292" s="10" t="n"/>
    </row>
    <row r="293">
      <c r="F293" s="6" t="n"/>
      <c r="G293" s="7" t="n"/>
      <c r="H293" s="7" t="n"/>
      <c r="I293" s="7" t="n"/>
      <c r="J293" s="7" t="n"/>
      <c r="K293" s="8" t="n"/>
      <c r="L293" s="9">
        <f>IF(AND($H293="",OR($G293="",$I293="")),"",ROUND(((IF($H293="",$I293-$G293,$H293))-(MIN(IF($J293="",0,$J293),(IF($H293="",$I293-$G293,$H293))/2)))*(IF($K293="",'تنظیمات'!$B$2,$K293))/100,0))</f>
        <v/>
      </c>
      <c r="P293" s="10" t="n"/>
    </row>
    <row r="294">
      <c r="F294" s="6" t="n"/>
      <c r="G294" s="7" t="n"/>
      <c r="H294" s="7" t="n"/>
      <c r="I294" s="7" t="n"/>
      <c r="J294" s="7" t="n"/>
      <c r="K294" s="8" t="n"/>
      <c r="L294" s="9">
        <f>IF(AND($H294="",OR($G294="",$I294="")),"",ROUND(((IF($H294="",$I294-$G294,$H294))-(MIN(IF($J294="",0,$J294),(IF($H294="",$I294-$G294,$H294))/2)))*(IF($K294="",'تنظیمات'!$B$2,$K294))/100,0))</f>
        <v/>
      </c>
      <c r="P294" s="10" t="n"/>
    </row>
    <row r="295">
      <c r="F295" s="6" t="n"/>
      <c r="G295" s="7" t="n"/>
      <c r="H295" s="7" t="n"/>
      <c r="I295" s="7" t="n"/>
      <c r="J295" s="7" t="n"/>
      <c r="K295" s="8" t="n"/>
      <c r="L295" s="9">
        <f>IF(AND($H295="",OR($G295="",$I295="")),"",ROUND(((IF($H295="",$I295-$G295,$H295))-(MIN(IF($J295="",0,$J295),(IF($H295="",$I295-$G295,$H295))/2)))*(IF($K295="",'تنظیمات'!$B$2,$K295))/100,0))</f>
        <v/>
      </c>
      <c r="P295" s="10" t="n"/>
    </row>
    <row r="296">
      <c r="F296" s="6" t="n"/>
      <c r="G296" s="7" t="n"/>
      <c r="H296" s="7" t="n"/>
      <c r="I296" s="7" t="n"/>
      <c r="J296" s="7" t="n"/>
      <c r="K296" s="8" t="n"/>
      <c r="L296" s="9">
        <f>IF(AND($H296="",OR($G296="",$I296="")),"",ROUND(((IF($H296="",$I296-$G296,$H296))-(MIN(IF($J296="",0,$J296),(IF($H296="",$I296-$G296,$H296))/2)))*(IF($K296="",'تنظیمات'!$B$2,$K296))/100,0))</f>
        <v/>
      </c>
      <c r="P296" s="10" t="n"/>
    </row>
    <row r="297">
      <c r="F297" s="6" t="n"/>
      <c r="G297" s="7" t="n"/>
      <c r="H297" s="7" t="n"/>
      <c r="I297" s="7" t="n"/>
      <c r="J297" s="7" t="n"/>
      <c r="K297" s="8" t="n"/>
      <c r="L297" s="9">
        <f>IF(AND($H297="",OR($G297="",$I297="")),"",ROUND(((IF($H297="",$I297-$G297,$H297))-(MIN(IF($J297="",0,$J297),(IF($H297="",$I297-$G297,$H297))/2)))*(IF($K297="",'تنظیمات'!$B$2,$K297))/100,0))</f>
        <v/>
      </c>
      <c r="P297" s="10" t="n"/>
    </row>
    <row r="298">
      <c r="F298" s="6" t="n"/>
      <c r="G298" s="7" t="n"/>
      <c r="H298" s="7" t="n"/>
      <c r="I298" s="7" t="n"/>
      <c r="J298" s="7" t="n"/>
      <c r="K298" s="8" t="n"/>
      <c r="L298" s="9">
        <f>IF(AND($H298="",OR($G298="",$I298="")),"",ROUND(((IF($H298="",$I298-$G298,$H298))-(MIN(IF($J298="",0,$J298),(IF($H298="",$I298-$G298,$H298))/2)))*(IF($K298="",'تنظیمات'!$B$2,$K298))/100,0))</f>
        <v/>
      </c>
      <c r="P298" s="10" t="n"/>
    </row>
    <row r="299">
      <c r="F299" s="6" t="n"/>
      <c r="G299" s="7" t="n"/>
      <c r="H299" s="7" t="n"/>
      <c r="I299" s="7" t="n"/>
      <c r="J299" s="7" t="n"/>
      <c r="K299" s="8" t="n"/>
      <c r="L299" s="9">
        <f>IF(AND($H299="",OR($G299="",$I299="")),"",ROUND(((IF($H299="",$I299-$G299,$H299))-(MIN(IF($J299="",0,$J299),(IF($H299="",$I299-$G299,$H299))/2)))*(IF($K299="",'تنظیمات'!$B$2,$K299))/100,0))</f>
        <v/>
      </c>
      <c r="P299" s="10" t="n"/>
    </row>
    <row r="300">
      <c r="F300" s="6" t="n"/>
      <c r="G300" s="7" t="n"/>
      <c r="H300" s="7" t="n"/>
      <c r="I300" s="7" t="n"/>
      <c r="J300" s="7" t="n"/>
      <c r="K300" s="8" t="n"/>
      <c r="L300" s="9">
        <f>IF(AND($H300="",OR($G300="",$I300="")),"",ROUND(((IF($H300="",$I300-$G300,$H300))-(MIN(IF($J300="",0,$J300),(IF($H300="",$I300-$G300,$H300))/2)))*(IF($K300="",'تنظیمات'!$B$2,$K300))/100,0))</f>
        <v/>
      </c>
      <c r="P300" s="10" t="n"/>
    </row>
    <row r="301">
      <c r="F301" s="6" t="n"/>
      <c r="G301" s="7" t="n"/>
      <c r="H301" s="7" t="n"/>
      <c r="I301" s="7" t="n"/>
      <c r="J301" s="7" t="n"/>
      <c r="K301" s="8" t="n"/>
      <c r="L301" s="9">
        <f>IF(AND($H301="",OR($G301="",$I301="")),"",ROUND(((IF($H301="",$I301-$G301,$H301))-(MIN(IF($J301="",0,$J301),(IF($H301="",$I301-$G301,$H301))/2)))*(IF($K301="",'تنظیمات'!$B$2,$K301))/100,0))</f>
        <v/>
      </c>
      <c r="P301" s="10" t="n"/>
    </row>
    <row r="302">
      <c r="F302" s="6" t="n"/>
      <c r="G302" s="7" t="n"/>
      <c r="H302" s="7" t="n"/>
      <c r="I302" s="7" t="n"/>
      <c r="J302" s="7" t="n"/>
      <c r="K302" s="8" t="n"/>
      <c r="L302" s="9">
        <f>IF(AND($H302="",OR($G302="",$I302="")),"",ROUND(((IF($H302="",$I302-$G302,$H302))-(MIN(IF($J302="",0,$J302),(IF($H302="",$I302-$G302,$H302))/2)))*(IF($K302="",'تنظیمات'!$B$2,$K302))/100,0))</f>
        <v/>
      </c>
      <c r="P302" s="10" t="n"/>
    </row>
    <row r="303">
      <c r="F303" s="6" t="n"/>
      <c r="G303" s="7" t="n"/>
      <c r="H303" s="7" t="n"/>
      <c r="I303" s="7" t="n"/>
      <c r="J303" s="7" t="n"/>
      <c r="K303" s="8" t="n"/>
      <c r="L303" s="9">
        <f>IF(AND($H303="",OR($G303="",$I303="")),"",ROUND(((IF($H303="",$I303-$G303,$H303))-(MIN(IF($J303="",0,$J303),(IF($H303="",$I303-$G303,$H303))/2)))*(IF($K303="",'تنظیمات'!$B$2,$K303))/100,0))</f>
        <v/>
      </c>
      <c r="P303" s="10" t="n"/>
    </row>
    <row r="304">
      <c r="F304" s="6" t="n"/>
      <c r="G304" s="7" t="n"/>
      <c r="H304" s="7" t="n"/>
      <c r="I304" s="7" t="n"/>
      <c r="J304" s="7" t="n"/>
      <c r="K304" s="8" t="n"/>
      <c r="L304" s="9">
        <f>IF(AND($H304="",OR($G304="",$I304="")),"",ROUND(((IF($H304="",$I304-$G304,$H304))-(MIN(IF($J304="",0,$J304),(IF($H304="",$I304-$G304,$H304))/2)))*(IF($K304="",'تنظیمات'!$B$2,$K304))/100,0))</f>
        <v/>
      </c>
      <c r="P304" s="10" t="n"/>
    </row>
    <row r="305">
      <c r="F305" s="6" t="n"/>
      <c r="G305" s="7" t="n"/>
      <c r="H305" s="7" t="n"/>
      <c r="I305" s="7" t="n"/>
      <c r="J305" s="7" t="n"/>
      <c r="K305" s="8" t="n"/>
      <c r="L305" s="9">
        <f>IF(AND($H305="",OR($G305="",$I305="")),"",ROUND(((IF($H305="",$I305-$G305,$H305))-(MIN(IF($J305="",0,$J305),(IF($H305="",$I305-$G305,$H305))/2)))*(IF($K305="",'تنظیمات'!$B$2,$K305))/100,0))</f>
        <v/>
      </c>
      <c r="P305" s="10" t="n"/>
    </row>
    <row r="306">
      <c r="F306" s="6" t="n"/>
      <c r="G306" s="7" t="n"/>
      <c r="H306" s="7" t="n"/>
      <c r="I306" s="7" t="n"/>
      <c r="J306" s="7" t="n"/>
      <c r="K306" s="8" t="n"/>
      <c r="L306" s="9">
        <f>IF(AND($H306="",OR($G306="",$I306="")),"",ROUND(((IF($H306="",$I306-$G306,$H306))-(MIN(IF($J306="",0,$J306),(IF($H306="",$I306-$G306,$H306))/2)))*(IF($K306="",'تنظیمات'!$B$2,$K306))/100,0))</f>
        <v/>
      </c>
      <c r="P306" s="10" t="n"/>
    </row>
    <row r="307">
      <c r="F307" s="6" t="n"/>
      <c r="G307" s="7" t="n"/>
      <c r="H307" s="7" t="n"/>
      <c r="I307" s="7" t="n"/>
      <c r="J307" s="7" t="n"/>
      <c r="K307" s="8" t="n"/>
      <c r="L307" s="9">
        <f>IF(AND($H307="",OR($G307="",$I307="")),"",ROUND(((IF($H307="",$I307-$G307,$H307))-(MIN(IF($J307="",0,$J307),(IF($H307="",$I307-$G307,$H307))/2)))*(IF($K307="",'تنظیمات'!$B$2,$K307))/100,0))</f>
        <v/>
      </c>
      <c r="P307" s="10" t="n"/>
    </row>
    <row r="308">
      <c r="F308" s="6" t="n"/>
      <c r="G308" s="7" t="n"/>
      <c r="H308" s="7" t="n"/>
      <c r="I308" s="7" t="n"/>
      <c r="J308" s="7" t="n"/>
      <c r="K308" s="8" t="n"/>
      <c r="L308" s="9">
        <f>IF(AND($H308="",OR($G308="",$I308="")),"",ROUND(((IF($H308="",$I308-$G308,$H308))-(MIN(IF($J308="",0,$J308),(IF($H308="",$I308-$G308,$H308))/2)))*(IF($K308="",'تنظیمات'!$B$2,$K308))/100,0))</f>
        <v/>
      </c>
      <c r="P308" s="10" t="n"/>
    </row>
    <row r="309">
      <c r="F309" s="6" t="n"/>
      <c r="G309" s="7" t="n"/>
      <c r="H309" s="7" t="n"/>
      <c r="I309" s="7" t="n"/>
      <c r="J309" s="7" t="n"/>
      <c r="K309" s="8" t="n"/>
      <c r="L309" s="9">
        <f>IF(AND($H309="",OR($G309="",$I309="")),"",ROUND(((IF($H309="",$I309-$G309,$H309))-(MIN(IF($J309="",0,$J309),(IF($H309="",$I309-$G309,$H309))/2)))*(IF($K309="",'تنظیمات'!$B$2,$K309))/100,0))</f>
        <v/>
      </c>
      <c r="P309" s="10" t="n"/>
    </row>
    <row r="310">
      <c r="F310" s="6" t="n"/>
      <c r="G310" s="7" t="n"/>
      <c r="H310" s="7" t="n"/>
      <c r="I310" s="7" t="n"/>
      <c r="J310" s="7" t="n"/>
      <c r="K310" s="8" t="n"/>
      <c r="L310" s="9">
        <f>IF(AND($H310="",OR($G310="",$I310="")),"",ROUND(((IF($H310="",$I310-$G310,$H310))-(MIN(IF($J310="",0,$J310),(IF($H310="",$I310-$G310,$H310))/2)))*(IF($K310="",'تنظیمات'!$B$2,$K310))/100,0))</f>
        <v/>
      </c>
      <c r="P310" s="10" t="n"/>
    </row>
    <row r="311">
      <c r="F311" s="6" t="n"/>
      <c r="G311" s="7" t="n"/>
      <c r="H311" s="7" t="n"/>
      <c r="I311" s="7" t="n"/>
      <c r="J311" s="7" t="n"/>
      <c r="K311" s="8" t="n"/>
      <c r="L311" s="9">
        <f>IF(AND($H311="",OR($G311="",$I311="")),"",ROUND(((IF($H311="",$I311-$G311,$H311))-(MIN(IF($J311="",0,$J311),(IF($H311="",$I311-$G311,$H311))/2)))*(IF($K311="",'تنظیمات'!$B$2,$K311))/100,0))</f>
        <v/>
      </c>
      <c r="P311" s="10" t="n"/>
    </row>
    <row r="312">
      <c r="F312" s="6" t="n"/>
      <c r="G312" s="7" t="n"/>
      <c r="H312" s="7" t="n"/>
      <c r="I312" s="7" t="n"/>
      <c r="J312" s="7" t="n"/>
      <c r="K312" s="8" t="n"/>
      <c r="L312" s="9">
        <f>IF(AND($H312="",OR($G312="",$I312="")),"",ROUND(((IF($H312="",$I312-$G312,$H312))-(MIN(IF($J312="",0,$J312),(IF($H312="",$I312-$G312,$H312))/2)))*(IF($K312="",'تنظیمات'!$B$2,$K312))/100,0))</f>
        <v/>
      </c>
      <c r="P312" s="10" t="n"/>
    </row>
    <row r="313">
      <c r="F313" s="6" t="n"/>
      <c r="G313" s="7" t="n"/>
      <c r="H313" s="7" t="n"/>
      <c r="I313" s="7" t="n"/>
      <c r="J313" s="7" t="n"/>
      <c r="K313" s="8" t="n"/>
      <c r="L313" s="9">
        <f>IF(AND($H313="",OR($G313="",$I313="")),"",ROUND(((IF($H313="",$I313-$G313,$H313))-(MIN(IF($J313="",0,$J313),(IF($H313="",$I313-$G313,$H313))/2)))*(IF($K313="",'تنظیمات'!$B$2,$K313))/100,0))</f>
        <v/>
      </c>
      <c r="P313" s="10" t="n"/>
    </row>
    <row r="314">
      <c r="F314" s="6" t="n"/>
      <c r="G314" s="7" t="n"/>
      <c r="H314" s="7" t="n"/>
      <c r="I314" s="7" t="n"/>
      <c r="J314" s="7" t="n"/>
      <c r="K314" s="8" t="n"/>
      <c r="L314" s="9">
        <f>IF(AND($H314="",OR($G314="",$I314="")),"",ROUND(((IF($H314="",$I314-$G314,$H314))-(MIN(IF($J314="",0,$J314),(IF($H314="",$I314-$G314,$H314))/2)))*(IF($K314="",'تنظیمات'!$B$2,$K314))/100,0))</f>
        <v/>
      </c>
      <c r="P314" s="10" t="n"/>
    </row>
    <row r="315">
      <c r="F315" s="6" t="n"/>
      <c r="G315" s="7" t="n"/>
      <c r="H315" s="7" t="n"/>
      <c r="I315" s="7" t="n"/>
      <c r="J315" s="7" t="n"/>
      <c r="K315" s="8" t="n"/>
      <c r="L315" s="9">
        <f>IF(AND($H315="",OR($G315="",$I315="")),"",ROUND(((IF($H315="",$I315-$G315,$H315))-(MIN(IF($J315="",0,$J315),(IF($H315="",$I315-$G315,$H315))/2)))*(IF($K315="",'تنظیمات'!$B$2,$K315))/100,0))</f>
        <v/>
      </c>
      <c r="P315" s="10" t="n"/>
    </row>
    <row r="316">
      <c r="F316" s="6" t="n"/>
      <c r="G316" s="7" t="n"/>
      <c r="H316" s="7" t="n"/>
      <c r="I316" s="7" t="n"/>
      <c r="J316" s="7" t="n"/>
      <c r="K316" s="8" t="n"/>
      <c r="L316" s="9">
        <f>IF(AND($H316="",OR($G316="",$I316="")),"",ROUND(((IF($H316="",$I316-$G316,$H316))-(MIN(IF($J316="",0,$J316),(IF($H316="",$I316-$G316,$H316))/2)))*(IF($K316="",'تنظیمات'!$B$2,$K316))/100,0))</f>
        <v/>
      </c>
      <c r="P316" s="10" t="n"/>
    </row>
    <row r="317">
      <c r="F317" s="6" t="n"/>
      <c r="G317" s="7" t="n"/>
      <c r="H317" s="7" t="n"/>
      <c r="I317" s="7" t="n"/>
      <c r="J317" s="7" t="n"/>
      <c r="K317" s="8" t="n"/>
      <c r="L317" s="9">
        <f>IF(AND($H317="",OR($G317="",$I317="")),"",ROUND(((IF($H317="",$I317-$G317,$H317))-(MIN(IF($J317="",0,$J317),(IF($H317="",$I317-$G317,$H317))/2)))*(IF($K317="",'تنظیمات'!$B$2,$K317))/100,0))</f>
        <v/>
      </c>
      <c r="P317" s="10" t="n"/>
    </row>
    <row r="318">
      <c r="F318" s="6" t="n"/>
      <c r="G318" s="7" t="n"/>
      <c r="H318" s="7" t="n"/>
      <c r="I318" s="7" t="n"/>
      <c r="J318" s="7" t="n"/>
      <c r="K318" s="8" t="n"/>
      <c r="L318" s="9">
        <f>IF(AND($H318="",OR($G318="",$I318="")),"",ROUND(((IF($H318="",$I318-$G318,$H318))-(MIN(IF($J318="",0,$J318),(IF($H318="",$I318-$G318,$H318))/2)))*(IF($K318="",'تنظیمات'!$B$2,$K318))/100,0))</f>
        <v/>
      </c>
      <c r="P318" s="10" t="n"/>
    </row>
    <row r="319">
      <c r="F319" s="6" t="n"/>
      <c r="G319" s="7" t="n"/>
      <c r="H319" s="7" t="n"/>
      <c r="I319" s="7" t="n"/>
      <c r="J319" s="7" t="n"/>
      <c r="K319" s="8" t="n"/>
      <c r="L319" s="9">
        <f>IF(AND($H319="",OR($G319="",$I319="")),"",ROUND(((IF($H319="",$I319-$G319,$H319))-(MIN(IF($J319="",0,$J319),(IF($H319="",$I319-$G319,$H319))/2)))*(IF($K319="",'تنظیمات'!$B$2,$K319))/100,0))</f>
        <v/>
      </c>
      <c r="P319" s="10" t="n"/>
    </row>
    <row r="320">
      <c r="F320" s="6" t="n"/>
      <c r="G320" s="7" t="n"/>
      <c r="H320" s="7" t="n"/>
      <c r="I320" s="7" t="n"/>
      <c r="J320" s="7" t="n"/>
      <c r="K320" s="8" t="n"/>
      <c r="L320" s="9">
        <f>IF(AND($H320="",OR($G320="",$I320="")),"",ROUND(((IF($H320="",$I320-$G320,$H320))-(MIN(IF($J320="",0,$J320),(IF($H320="",$I320-$G320,$H320))/2)))*(IF($K320="",'تنظیمات'!$B$2,$K320))/100,0))</f>
        <v/>
      </c>
      <c r="P320" s="10" t="n"/>
    </row>
    <row r="321">
      <c r="F321" s="6" t="n"/>
      <c r="G321" s="7" t="n"/>
      <c r="H321" s="7" t="n"/>
      <c r="I321" s="7" t="n"/>
      <c r="J321" s="7" t="n"/>
      <c r="K321" s="8" t="n"/>
      <c r="L321" s="9">
        <f>IF(AND($H321="",OR($G321="",$I321="")),"",ROUND(((IF($H321="",$I321-$G321,$H321))-(MIN(IF($J321="",0,$J321),(IF($H321="",$I321-$G321,$H321))/2)))*(IF($K321="",'تنظیمات'!$B$2,$K321))/100,0))</f>
        <v/>
      </c>
      <c r="P321" s="10" t="n"/>
    </row>
    <row r="322">
      <c r="F322" s="6" t="n"/>
      <c r="G322" s="7" t="n"/>
      <c r="H322" s="7" t="n"/>
      <c r="I322" s="7" t="n"/>
      <c r="J322" s="7" t="n"/>
      <c r="K322" s="8" t="n"/>
      <c r="L322" s="9">
        <f>IF(AND($H322="",OR($G322="",$I322="")),"",ROUND(((IF($H322="",$I322-$G322,$H322))-(MIN(IF($J322="",0,$J322),(IF($H322="",$I322-$G322,$H322))/2)))*(IF($K322="",'تنظیمات'!$B$2,$K322))/100,0))</f>
        <v/>
      </c>
      <c r="P322" s="10" t="n"/>
    </row>
    <row r="323">
      <c r="F323" s="6" t="n"/>
      <c r="G323" s="7" t="n"/>
      <c r="H323" s="7" t="n"/>
      <c r="I323" s="7" t="n"/>
      <c r="J323" s="7" t="n"/>
      <c r="K323" s="8" t="n"/>
      <c r="L323" s="9">
        <f>IF(AND($H323="",OR($G323="",$I323="")),"",ROUND(((IF($H323="",$I323-$G323,$H323))-(MIN(IF($J323="",0,$J323),(IF($H323="",$I323-$G323,$H323))/2)))*(IF($K323="",'تنظیمات'!$B$2,$K323))/100,0))</f>
        <v/>
      </c>
      <c r="P323" s="10" t="n"/>
    </row>
    <row r="324">
      <c r="F324" s="6" t="n"/>
      <c r="G324" s="7" t="n"/>
      <c r="H324" s="7" t="n"/>
      <c r="I324" s="7" t="n"/>
      <c r="J324" s="7" t="n"/>
      <c r="K324" s="8" t="n"/>
      <c r="L324" s="9">
        <f>IF(AND($H324="",OR($G324="",$I324="")),"",ROUND(((IF($H324="",$I324-$G324,$H324))-(MIN(IF($J324="",0,$J324),(IF($H324="",$I324-$G324,$H324))/2)))*(IF($K324="",'تنظیمات'!$B$2,$K324))/100,0))</f>
        <v/>
      </c>
      <c r="P324" s="10" t="n"/>
    </row>
    <row r="325">
      <c r="F325" s="6" t="n"/>
      <c r="G325" s="7" t="n"/>
      <c r="H325" s="7" t="n"/>
      <c r="I325" s="7" t="n"/>
      <c r="J325" s="7" t="n"/>
      <c r="K325" s="8" t="n"/>
      <c r="L325" s="9">
        <f>IF(AND($H325="",OR($G325="",$I325="")),"",ROUND(((IF($H325="",$I325-$G325,$H325))-(MIN(IF($J325="",0,$J325),(IF($H325="",$I325-$G325,$H325))/2)))*(IF($K325="",'تنظیمات'!$B$2,$K325))/100,0))</f>
        <v/>
      </c>
      <c r="P325" s="10" t="n"/>
    </row>
    <row r="326">
      <c r="F326" s="6" t="n"/>
      <c r="G326" s="7" t="n"/>
      <c r="H326" s="7" t="n"/>
      <c r="I326" s="7" t="n"/>
      <c r="J326" s="7" t="n"/>
      <c r="K326" s="8" t="n"/>
      <c r="L326" s="9">
        <f>IF(AND($H326="",OR($G326="",$I326="")),"",ROUND(((IF($H326="",$I326-$G326,$H326))-(MIN(IF($J326="",0,$J326),(IF($H326="",$I326-$G326,$H326))/2)))*(IF($K326="",'تنظیمات'!$B$2,$K326))/100,0))</f>
        <v/>
      </c>
      <c r="P326" s="10" t="n"/>
    </row>
    <row r="327">
      <c r="F327" s="6" t="n"/>
      <c r="G327" s="7" t="n"/>
      <c r="H327" s="7" t="n"/>
      <c r="I327" s="7" t="n"/>
      <c r="J327" s="7" t="n"/>
      <c r="K327" s="8" t="n"/>
      <c r="L327" s="9">
        <f>IF(AND($H327="",OR($G327="",$I327="")),"",ROUND(((IF($H327="",$I327-$G327,$H327))-(MIN(IF($J327="",0,$J327),(IF($H327="",$I327-$G327,$H327))/2)))*(IF($K327="",'تنظیمات'!$B$2,$K327))/100,0))</f>
        <v/>
      </c>
      <c r="P327" s="10" t="n"/>
    </row>
    <row r="328">
      <c r="F328" s="6" t="n"/>
      <c r="G328" s="7" t="n"/>
      <c r="H328" s="7" t="n"/>
      <c r="I328" s="7" t="n"/>
      <c r="J328" s="7" t="n"/>
      <c r="K328" s="8" t="n"/>
      <c r="L328" s="9">
        <f>IF(AND($H328="",OR($G328="",$I328="")),"",ROUND(((IF($H328="",$I328-$G328,$H328))-(MIN(IF($J328="",0,$J328),(IF($H328="",$I328-$G328,$H328))/2)))*(IF($K328="",'تنظیمات'!$B$2,$K328))/100,0))</f>
        <v/>
      </c>
      <c r="P328" s="10" t="n"/>
    </row>
    <row r="329">
      <c r="F329" s="6" t="n"/>
      <c r="G329" s="7" t="n"/>
      <c r="H329" s="7" t="n"/>
      <c r="I329" s="7" t="n"/>
      <c r="J329" s="7" t="n"/>
      <c r="K329" s="8" t="n"/>
      <c r="L329" s="9">
        <f>IF(AND($H329="",OR($G329="",$I329="")),"",ROUND(((IF($H329="",$I329-$G329,$H329))-(MIN(IF($J329="",0,$J329),(IF($H329="",$I329-$G329,$H329))/2)))*(IF($K329="",'تنظیمات'!$B$2,$K329))/100,0))</f>
        <v/>
      </c>
      <c r="P329" s="10" t="n"/>
    </row>
    <row r="330">
      <c r="F330" s="6" t="n"/>
      <c r="G330" s="7" t="n"/>
      <c r="H330" s="7" t="n"/>
      <c r="I330" s="7" t="n"/>
      <c r="J330" s="7" t="n"/>
      <c r="K330" s="8" t="n"/>
      <c r="L330" s="9">
        <f>IF(AND($H330="",OR($G330="",$I330="")),"",ROUND(((IF($H330="",$I330-$G330,$H330))-(MIN(IF($J330="",0,$J330),(IF($H330="",$I330-$G330,$H330))/2)))*(IF($K330="",'تنظیمات'!$B$2,$K330))/100,0))</f>
        <v/>
      </c>
      <c r="P330" s="10" t="n"/>
    </row>
    <row r="331">
      <c r="F331" s="6" t="n"/>
      <c r="G331" s="7" t="n"/>
      <c r="H331" s="7" t="n"/>
      <c r="I331" s="7" t="n"/>
      <c r="J331" s="7" t="n"/>
      <c r="K331" s="8" t="n"/>
      <c r="L331" s="9">
        <f>IF(AND($H331="",OR($G331="",$I331="")),"",ROUND(((IF($H331="",$I331-$G331,$H331))-(MIN(IF($J331="",0,$J331),(IF($H331="",$I331-$G331,$H331))/2)))*(IF($K331="",'تنظیمات'!$B$2,$K331))/100,0))</f>
        <v/>
      </c>
      <c r="P331" s="10" t="n"/>
    </row>
    <row r="332">
      <c r="F332" s="6" t="n"/>
      <c r="G332" s="7" t="n"/>
      <c r="H332" s="7" t="n"/>
      <c r="I332" s="7" t="n"/>
      <c r="J332" s="7" t="n"/>
      <c r="K332" s="8" t="n"/>
      <c r="L332" s="9">
        <f>IF(AND($H332="",OR($G332="",$I332="")),"",ROUND(((IF($H332="",$I332-$G332,$H332))-(MIN(IF($J332="",0,$J332),(IF($H332="",$I332-$G332,$H332))/2)))*(IF($K332="",'تنظیمات'!$B$2,$K332))/100,0))</f>
        <v/>
      </c>
      <c r="P332" s="10" t="n"/>
    </row>
    <row r="333">
      <c r="F333" s="6" t="n"/>
      <c r="G333" s="7" t="n"/>
      <c r="H333" s="7" t="n"/>
      <c r="I333" s="7" t="n"/>
      <c r="J333" s="7" t="n"/>
      <c r="K333" s="8" t="n"/>
      <c r="L333" s="9">
        <f>IF(AND($H333="",OR($G333="",$I333="")),"",ROUND(((IF($H333="",$I333-$G333,$H333))-(MIN(IF($J333="",0,$J333),(IF($H333="",$I333-$G333,$H333))/2)))*(IF($K333="",'تنظیمات'!$B$2,$K333))/100,0))</f>
        <v/>
      </c>
      <c r="P333" s="10" t="n"/>
    </row>
    <row r="334">
      <c r="F334" s="6" t="n"/>
      <c r="G334" s="7" t="n"/>
      <c r="H334" s="7" t="n"/>
      <c r="I334" s="7" t="n"/>
      <c r="J334" s="7" t="n"/>
      <c r="K334" s="8" t="n"/>
      <c r="L334" s="9">
        <f>IF(AND($H334="",OR($G334="",$I334="")),"",ROUND(((IF($H334="",$I334-$G334,$H334))-(MIN(IF($J334="",0,$J334),(IF($H334="",$I334-$G334,$H334))/2)))*(IF($K334="",'تنظیمات'!$B$2,$K334))/100,0))</f>
        <v/>
      </c>
      <c r="P334" s="10" t="n"/>
    </row>
    <row r="335">
      <c r="F335" s="6" t="n"/>
      <c r="G335" s="7" t="n"/>
      <c r="H335" s="7" t="n"/>
      <c r="I335" s="7" t="n"/>
      <c r="J335" s="7" t="n"/>
      <c r="K335" s="8" t="n"/>
      <c r="L335" s="9">
        <f>IF(AND($H335="",OR($G335="",$I335="")),"",ROUND(((IF($H335="",$I335-$G335,$H335))-(MIN(IF($J335="",0,$J335),(IF($H335="",$I335-$G335,$H335))/2)))*(IF($K335="",'تنظیمات'!$B$2,$K335))/100,0))</f>
        <v/>
      </c>
      <c r="P335" s="10" t="n"/>
    </row>
    <row r="336">
      <c r="F336" s="6" t="n"/>
      <c r="G336" s="7" t="n"/>
      <c r="H336" s="7" t="n"/>
      <c r="I336" s="7" t="n"/>
      <c r="J336" s="7" t="n"/>
      <c r="K336" s="8" t="n"/>
      <c r="L336" s="9">
        <f>IF(AND($H336="",OR($G336="",$I336="")),"",ROUND(((IF($H336="",$I336-$G336,$H336))-(MIN(IF($J336="",0,$J336),(IF($H336="",$I336-$G336,$H336))/2)))*(IF($K336="",'تنظیمات'!$B$2,$K336))/100,0))</f>
        <v/>
      </c>
      <c r="P336" s="10" t="n"/>
    </row>
    <row r="337">
      <c r="F337" s="6" t="n"/>
      <c r="G337" s="7" t="n"/>
      <c r="H337" s="7" t="n"/>
      <c r="I337" s="7" t="n"/>
      <c r="J337" s="7" t="n"/>
      <c r="K337" s="8" t="n"/>
      <c r="L337" s="9">
        <f>IF(AND($H337="",OR($G337="",$I337="")),"",ROUND(((IF($H337="",$I337-$G337,$H337))-(MIN(IF($J337="",0,$J337),(IF($H337="",$I337-$G337,$H337))/2)))*(IF($K337="",'تنظیمات'!$B$2,$K337))/100,0))</f>
        <v/>
      </c>
      <c r="P337" s="10" t="n"/>
    </row>
    <row r="338">
      <c r="F338" s="6" t="n"/>
      <c r="G338" s="7" t="n"/>
      <c r="H338" s="7" t="n"/>
      <c r="I338" s="7" t="n"/>
      <c r="J338" s="7" t="n"/>
      <c r="K338" s="8" t="n"/>
      <c r="L338" s="9">
        <f>IF(AND($H338="",OR($G338="",$I338="")),"",ROUND(((IF($H338="",$I338-$G338,$H338))-(MIN(IF($J338="",0,$J338),(IF($H338="",$I338-$G338,$H338))/2)))*(IF($K338="",'تنظیمات'!$B$2,$K338))/100,0))</f>
        <v/>
      </c>
      <c r="P338" s="10" t="n"/>
    </row>
    <row r="339">
      <c r="F339" s="6" t="n"/>
      <c r="G339" s="7" t="n"/>
      <c r="H339" s="7" t="n"/>
      <c r="I339" s="7" t="n"/>
      <c r="J339" s="7" t="n"/>
      <c r="K339" s="8" t="n"/>
      <c r="L339" s="9">
        <f>IF(AND($H339="",OR($G339="",$I339="")),"",ROUND(((IF($H339="",$I339-$G339,$H339))-(MIN(IF($J339="",0,$J339),(IF($H339="",$I339-$G339,$H339))/2)))*(IF($K339="",'تنظیمات'!$B$2,$K339))/100,0))</f>
        <v/>
      </c>
      <c r="P339" s="10" t="n"/>
    </row>
    <row r="340">
      <c r="F340" s="6" t="n"/>
      <c r="G340" s="7" t="n"/>
      <c r="H340" s="7" t="n"/>
      <c r="I340" s="7" t="n"/>
      <c r="J340" s="7" t="n"/>
      <c r="K340" s="8" t="n"/>
      <c r="L340" s="9">
        <f>IF(AND($H340="",OR($G340="",$I340="")),"",ROUND(((IF($H340="",$I340-$G340,$H340))-(MIN(IF($J340="",0,$J340),(IF($H340="",$I340-$G340,$H340))/2)))*(IF($K340="",'تنظیمات'!$B$2,$K340))/100,0))</f>
        <v/>
      </c>
      <c r="P340" s="10" t="n"/>
    </row>
    <row r="341">
      <c r="F341" s="6" t="n"/>
      <c r="G341" s="7" t="n"/>
      <c r="H341" s="7" t="n"/>
      <c r="I341" s="7" t="n"/>
      <c r="J341" s="7" t="n"/>
      <c r="K341" s="8" t="n"/>
      <c r="L341" s="9">
        <f>IF(AND($H341="",OR($G341="",$I341="")),"",ROUND(((IF($H341="",$I341-$G341,$H341))-(MIN(IF($J341="",0,$J341),(IF($H341="",$I341-$G341,$H341))/2)))*(IF($K341="",'تنظیمات'!$B$2,$K341))/100,0))</f>
        <v/>
      </c>
      <c r="P341" s="10" t="n"/>
    </row>
    <row r="342">
      <c r="F342" s="6" t="n"/>
      <c r="G342" s="7" t="n"/>
      <c r="H342" s="7" t="n"/>
      <c r="I342" s="7" t="n"/>
      <c r="J342" s="7" t="n"/>
      <c r="K342" s="8" t="n"/>
      <c r="L342" s="9">
        <f>IF(AND($H342="",OR($G342="",$I342="")),"",ROUND(((IF($H342="",$I342-$G342,$H342))-(MIN(IF($J342="",0,$J342),(IF($H342="",$I342-$G342,$H342))/2)))*(IF($K342="",'تنظیمات'!$B$2,$K342))/100,0))</f>
        <v/>
      </c>
      <c r="P342" s="10" t="n"/>
    </row>
    <row r="343">
      <c r="F343" s="6" t="n"/>
      <c r="G343" s="7" t="n"/>
      <c r="H343" s="7" t="n"/>
      <c r="I343" s="7" t="n"/>
      <c r="J343" s="7" t="n"/>
      <c r="K343" s="8" t="n"/>
      <c r="L343" s="9">
        <f>IF(AND($H343="",OR($G343="",$I343="")),"",ROUND(((IF($H343="",$I343-$G343,$H343))-(MIN(IF($J343="",0,$J343),(IF($H343="",$I343-$G343,$H343))/2)))*(IF($K343="",'تنظیمات'!$B$2,$K343))/100,0))</f>
        <v/>
      </c>
      <c r="P343" s="10" t="n"/>
    </row>
    <row r="344">
      <c r="F344" s="6" t="n"/>
      <c r="G344" s="7" t="n"/>
      <c r="H344" s="7" t="n"/>
      <c r="I344" s="7" t="n"/>
      <c r="J344" s="7" t="n"/>
      <c r="K344" s="8" t="n"/>
      <c r="L344" s="9">
        <f>IF(AND($H344="",OR($G344="",$I344="")),"",ROUND(((IF($H344="",$I344-$G344,$H344))-(MIN(IF($J344="",0,$J344),(IF($H344="",$I344-$G344,$H344))/2)))*(IF($K344="",'تنظیمات'!$B$2,$K344))/100,0))</f>
        <v/>
      </c>
      <c r="P344" s="10" t="n"/>
    </row>
    <row r="345">
      <c r="F345" s="6" t="n"/>
      <c r="G345" s="7" t="n"/>
      <c r="H345" s="7" t="n"/>
      <c r="I345" s="7" t="n"/>
      <c r="J345" s="7" t="n"/>
      <c r="K345" s="8" t="n"/>
      <c r="L345" s="9">
        <f>IF(AND($H345="",OR($G345="",$I345="")),"",ROUND(((IF($H345="",$I345-$G345,$H345))-(MIN(IF($J345="",0,$J345),(IF($H345="",$I345-$G345,$H345))/2)))*(IF($K345="",'تنظیمات'!$B$2,$K345))/100,0))</f>
        <v/>
      </c>
      <c r="P345" s="10" t="n"/>
    </row>
    <row r="346">
      <c r="F346" s="6" t="n"/>
      <c r="G346" s="7" t="n"/>
      <c r="H346" s="7" t="n"/>
      <c r="I346" s="7" t="n"/>
      <c r="J346" s="7" t="n"/>
      <c r="K346" s="8" t="n"/>
      <c r="L346" s="9">
        <f>IF(AND($H346="",OR($G346="",$I346="")),"",ROUND(((IF($H346="",$I346-$G346,$H346))-(MIN(IF($J346="",0,$J346),(IF($H346="",$I346-$G346,$H346))/2)))*(IF($K346="",'تنظیمات'!$B$2,$K346))/100,0))</f>
        <v/>
      </c>
      <c r="P346" s="10" t="n"/>
    </row>
    <row r="347">
      <c r="F347" s="6" t="n"/>
      <c r="G347" s="7" t="n"/>
      <c r="H347" s="7" t="n"/>
      <c r="I347" s="7" t="n"/>
      <c r="J347" s="7" t="n"/>
      <c r="K347" s="8" t="n"/>
      <c r="L347" s="9">
        <f>IF(AND($H347="",OR($G347="",$I347="")),"",ROUND(((IF($H347="",$I347-$G347,$H347))-(MIN(IF($J347="",0,$J347),(IF($H347="",$I347-$G347,$H347))/2)))*(IF($K347="",'تنظیمات'!$B$2,$K347))/100,0))</f>
        <v/>
      </c>
      <c r="P347" s="10" t="n"/>
    </row>
    <row r="348">
      <c r="F348" s="6" t="n"/>
      <c r="G348" s="7" t="n"/>
      <c r="H348" s="7" t="n"/>
      <c r="I348" s="7" t="n"/>
      <c r="J348" s="7" t="n"/>
      <c r="K348" s="8" t="n"/>
      <c r="L348" s="9">
        <f>IF(AND($H348="",OR($G348="",$I348="")),"",ROUND(((IF($H348="",$I348-$G348,$H348))-(MIN(IF($J348="",0,$J348),(IF($H348="",$I348-$G348,$H348))/2)))*(IF($K348="",'تنظیمات'!$B$2,$K348))/100,0))</f>
        <v/>
      </c>
      <c r="P348" s="10" t="n"/>
    </row>
    <row r="349">
      <c r="F349" s="6" t="n"/>
      <c r="G349" s="7" t="n"/>
      <c r="H349" s="7" t="n"/>
      <c r="I349" s="7" t="n"/>
      <c r="J349" s="7" t="n"/>
      <c r="K349" s="8" t="n"/>
      <c r="L349" s="9">
        <f>IF(AND($H349="",OR($G349="",$I349="")),"",ROUND(((IF($H349="",$I349-$G349,$H349))-(MIN(IF($J349="",0,$J349),(IF($H349="",$I349-$G349,$H349))/2)))*(IF($K349="",'تنظیمات'!$B$2,$K349))/100,0))</f>
        <v/>
      </c>
      <c r="P349" s="10" t="n"/>
    </row>
    <row r="350">
      <c r="F350" s="6" t="n"/>
      <c r="G350" s="7" t="n"/>
      <c r="H350" s="7" t="n"/>
      <c r="I350" s="7" t="n"/>
      <c r="J350" s="7" t="n"/>
      <c r="K350" s="8" t="n"/>
      <c r="L350" s="9">
        <f>IF(AND($H350="",OR($G350="",$I350="")),"",ROUND(((IF($H350="",$I350-$G350,$H350))-(MIN(IF($J350="",0,$J350),(IF($H350="",$I350-$G350,$H350))/2)))*(IF($K350="",'تنظیمات'!$B$2,$K350))/100,0))</f>
        <v/>
      </c>
      <c r="P350" s="10" t="n"/>
    </row>
    <row r="351">
      <c r="F351" s="6" t="n"/>
      <c r="G351" s="7" t="n"/>
      <c r="H351" s="7" t="n"/>
      <c r="I351" s="7" t="n"/>
      <c r="J351" s="7" t="n"/>
      <c r="K351" s="8" t="n"/>
      <c r="L351" s="9">
        <f>IF(AND($H351="",OR($G351="",$I351="")),"",ROUND(((IF($H351="",$I351-$G351,$H351))-(MIN(IF($J351="",0,$J351),(IF($H351="",$I351-$G351,$H351))/2)))*(IF($K351="",'تنظیمات'!$B$2,$K351))/100,0))</f>
        <v/>
      </c>
      <c r="P351" s="10" t="n"/>
    </row>
    <row r="352">
      <c r="F352" s="6" t="n"/>
      <c r="G352" s="7" t="n"/>
      <c r="H352" s="7" t="n"/>
      <c r="I352" s="7" t="n"/>
      <c r="J352" s="7" t="n"/>
      <c r="K352" s="8" t="n"/>
      <c r="L352" s="9">
        <f>IF(AND($H352="",OR($G352="",$I352="")),"",ROUND(((IF($H352="",$I352-$G352,$H352))-(MIN(IF($J352="",0,$J352),(IF($H352="",$I352-$G352,$H352))/2)))*(IF($K352="",'تنظیمات'!$B$2,$K352))/100,0))</f>
        <v/>
      </c>
      <c r="P352" s="10" t="n"/>
    </row>
    <row r="353">
      <c r="F353" s="6" t="n"/>
      <c r="G353" s="7" t="n"/>
      <c r="H353" s="7" t="n"/>
      <c r="I353" s="7" t="n"/>
      <c r="J353" s="7" t="n"/>
      <c r="K353" s="8" t="n"/>
      <c r="L353" s="9">
        <f>IF(AND($H353="",OR($G353="",$I353="")),"",ROUND(((IF($H353="",$I353-$G353,$H353))-(MIN(IF($J353="",0,$J353),(IF($H353="",$I353-$G353,$H353))/2)))*(IF($K353="",'تنظیمات'!$B$2,$K353))/100,0))</f>
        <v/>
      </c>
      <c r="P353" s="10" t="n"/>
    </row>
    <row r="354">
      <c r="F354" s="6" t="n"/>
      <c r="G354" s="7" t="n"/>
      <c r="H354" s="7" t="n"/>
      <c r="I354" s="7" t="n"/>
      <c r="J354" s="7" t="n"/>
      <c r="K354" s="8" t="n"/>
      <c r="L354" s="9">
        <f>IF(AND($H354="",OR($G354="",$I354="")),"",ROUND(((IF($H354="",$I354-$G354,$H354))-(MIN(IF($J354="",0,$J354),(IF($H354="",$I354-$G354,$H354))/2)))*(IF($K354="",'تنظیمات'!$B$2,$K354))/100,0))</f>
        <v/>
      </c>
      <c r="P354" s="10" t="n"/>
    </row>
    <row r="355">
      <c r="F355" s="6" t="n"/>
      <c r="G355" s="7" t="n"/>
      <c r="H355" s="7" t="n"/>
      <c r="I355" s="7" t="n"/>
      <c r="J355" s="7" t="n"/>
      <c r="K355" s="8" t="n"/>
      <c r="L355" s="9">
        <f>IF(AND($H355="",OR($G355="",$I355="")),"",ROUND(((IF($H355="",$I355-$G355,$H355))-(MIN(IF($J355="",0,$J355),(IF($H355="",$I355-$G355,$H355))/2)))*(IF($K355="",'تنظیمات'!$B$2,$K355))/100,0))</f>
        <v/>
      </c>
      <c r="P355" s="10" t="n"/>
    </row>
    <row r="356">
      <c r="F356" s="6" t="n"/>
      <c r="G356" s="7" t="n"/>
      <c r="H356" s="7" t="n"/>
      <c r="I356" s="7" t="n"/>
      <c r="J356" s="7" t="n"/>
      <c r="K356" s="8" t="n"/>
      <c r="L356" s="9">
        <f>IF(AND($H356="",OR($G356="",$I356="")),"",ROUND(((IF($H356="",$I356-$G356,$H356))-(MIN(IF($J356="",0,$J356),(IF($H356="",$I356-$G356,$H356))/2)))*(IF($K356="",'تنظیمات'!$B$2,$K356))/100,0))</f>
        <v/>
      </c>
      <c r="P356" s="10" t="n"/>
    </row>
    <row r="357">
      <c r="F357" s="6" t="n"/>
      <c r="G357" s="7" t="n"/>
      <c r="H357" s="7" t="n"/>
      <c r="I357" s="7" t="n"/>
      <c r="J357" s="7" t="n"/>
      <c r="K357" s="8" t="n"/>
      <c r="L357" s="9">
        <f>IF(AND($H357="",OR($G357="",$I357="")),"",ROUND(((IF($H357="",$I357-$G357,$H357))-(MIN(IF($J357="",0,$J357),(IF($H357="",$I357-$G357,$H357))/2)))*(IF($K357="",'تنظیمات'!$B$2,$K357))/100,0))</f>
        <v/>
      </c>
      <c r="P357" s="10" t="n"/>
    </row>
    <row r="358">
      <c r="F358" s="6" t="n"/>
      <c r="G358" s="7" t="n"/>
      <c r="H358" s="7" t="n"/>
      <c r="I358" s="7" t="n"/>
      <c r="J358" s="7" t="n"/>
      <c r="K358" s="8" t="n"/>
      <c r="L358" s="9">
        <f>IF(AND($H358="",OR($G358="",$I358="")),"",ROUND(((IF($H358="",$I358-$G358,$H358))-(MIN(IF($J358="",0,$J358),(IF($H358="",$I358-$G358,$H358))/2)))*(IF($K358="",'تنظیمات'!$B$2,$K358))/100,0))</f>
        <v/>
      </c>
      <c r="P358" s="10" t="n"/>
    </row>
    <row r="359">
      <c r="F359" s="6" t="n"/>
      <c r="G359" s="7" t="n"/>
      <c r="H359" s="7" t="n"/>
      <c r="I359" s="7" t="n"/>
      <c r="J359" s="7" t="n"/>
      <c r="K359" s="8" t="n"/>
      <c r="L359" s="9">
        <f>IF(AND($H359="",OR($G359="",$I359="")),"",ROUND(((IF($H359="",$I359-$G359,$H359))-(MIN(IF($J359="",0,$J359),(IF($H359="",$I359-$G359,$H359))/2)))*(IF($K359="",'تنظیمات'!$B$2,$K359))/100,0))</f>
        <v/>
      </c>
      <c r="P359" s="10" t="n"/>
    </row>
    <row r="360">
      <c r="F360" s="6" t="n"/>
      <c r="G360" s="7" t="n"/>
      <c r="H360" s="7" t="n"/>
      <c r="I360" s="7" t="n"/>
      <c r="J360" s="7" t="n"/>
      <c r="K360" s="8" t="n"/>
      <c r="L360" s="9">
        <f>IF(AND($H360="",OR($G360="",$I360="")),"",ROUND(((IF($H360="",$I360-$G360,$H360))-(MIN(IF($J360="",0,$J360),(IF($H360="",$I360-$G360,$H360))/2)))*(IF($K360="",'تنظیمات'!$B$2,$K360))/100,0))</f>
        <v/>
      </c>
      <c r="P360" s="10" t="n"/>
    </row>
    <row r="361">
      <c r="F361" s="6" t="n"/>
      <c r="G361" s="7" t="n"/>
      <c r="H361" s="7" t="n"/>
      <c r="I361" s="7" t="n"/>
      <c r="J361" s="7" t="n"/>
      <c r="K361" s="8" t="n"/>
      <c r="L361" s="9">
        <f>IF(AND($H361="",OR($G361="",$I361="")),"",ROUND(((IF($H361="",$I361-$G361,$H361))-(MIN(IF($J361="",0,$J361),(IF($H361="",$I361-$G361,$H361))/2)))*(IF($K361="",'تنظیمات'!$B$2,$K361))/100,0))</f>
        <v/>
      </c>
      <c r="P361" s="10" t="n"/>
    </row>
    <row r="362">
      <c r="F362" s="6" t="n"/>
      <c r="G362" s="7" t="n"/>
      <c r="H362" s="7" t="n"/>
      <c r="I362" s="7" t="n"/>
      <c r="J362" s="7" t="n"/>
      <c r="K362" s="8" t="n"/>
      <c r="L362" s="9">
        <f>IF(AND($H362="",OR($G362="",$I362="")),"",ROUND(((IF($H362="",$I362-$G362,$H362))-(MIN(IF($J362="",0,$J362),(IF($H362="",$I362-$G362,$H362))/2)))*(IF($K362="",'تنظیمات'!$B$2,$K362))/100,0))</f>
        <v/>
      </c>
      <c r="P362" s="10" t="n"/>
    </row>
    <row r="363">
      <c r="F363" s="6" t="n"/>
      <c r="G363" s="7" t="n"/>
      <c r="H363" s="7" t="n"/>
      <c r="I363" s="7" t="n"/>
      <c r="J363" s="7" t="n"/>
      <c r="K363" s="8" t="n"/>
      <c r="L363" s="9">
        <f>IF(AND($H363="",OR($G363="",$I363="")),"",ROUND(((IF($H363="",$I363-$G363,$H363))-(MIN(IF($J363="",0,$J363),(IF($H363="",$I363-$G363,$H363))/2)))*(IF($K363="",'تنظیمات'!$B$2,$K363))/100,0))</f>
        <v/>
      </c>
      <c r="P363" s="10" t="n"/>
    </row>
    <row r="364">
      <c r="F364" s="6" t="n"/>
      <c r="G364" s="7" t="n"/>
      <c r="H364" s="7" t="n"/>
      <c r="I364" s="7" t="n"/>
      <c r="J364" s="7" t="n"/>
      <c r="K364" s="8" t="n"/>
      <c r="L364" s="9">
        <f>IF(AND($H364="",OR($G364="",$I364="")),"",ROUND(((IF($H364="",$I364-$G364,$H364))-(MIN(IF($J364="",0,$J364),(IF($H364="",$I364-$G364,$H364))/2)))*(IF($K364="",'تنظیمات'!$B$2,$K364))/100,0))</f>
        <v/>
      </c>
      <c r="P364" s="10" t="n"/>
    </row>
    <row r="365">
      <c r="F365" s="6" t="n"/>
      <c r="G365" s="7" t="n"/>
      <c r="H365" s="7" t="n"/>
      <c r="I365" s="7" t="n"/>
      <c r="J365" s="7" t="n"/>
      <c r="K365" s="8" t="n"/>
      <c r="L365" s="9">
        <f>IF(AND($H365="",OR($G365="",$I365="")),"",ROUND(((IF($H365="",$I365-$G365,$H365))-(MIN(IF($J365="",0,$J365),(IF($H365="",$I365-$G365,$H365))/2)))*(IF($K365="",'تنظیمات'!$B$2,$K365))/100,0))</f>
        <v/>
      </c>
      <c r="P365" s="10" t="n"/>
    </row>
    <row r="366">
      <c r="F366" s="6" t="n"/>
      <c r="G366" s="7" t="n"/>
      <c r="H366" s="7" t="n"/>
      <c r="I366" s="7" t="n"/>
      <c r="J366" s="7" t="n"/>
      <c r="K366" s="8" t="n"/>
      <c r="L366" s="9">
        <f>IF(AND($H366="",OR($G366="",$I366="")),"",ROUND(((IF($H366="",$I366-$G366,$H366))-(MIN(IF($J366="",0,$J366),(IF($H366="",$I366-$G366,$H366))/2)))*(IF($K366="",'تنظیمات'!$B$2,$K366))/100,0))</f>
        <v/>
      </c>
      <c r="P366" s="10" t="n"/>
    </row>
    <row r="367">
      <c r="F367" s="6" t="n"/>
      <c r="G367" s="7" t="n"/>
      <c r="H367" s="7" t="n"/>
      <c r="I367" s="7" t="n"/>
      <c r="J367" s="7" t="n"/>
      <c r="K367" s="8" t="n"/>
      <c r="L367" s="9">
        <f>IF(AND($H367="",OR($G367="",$I367="")),"",ROUND(((IF($H367="",$I367-$G367,$H367))-(MIN(IF($J367="",0,$J367),(IF($H367="",$I367-$G367,$H367))/2)))*(IF($K367="",'تنظیمات'!$B$2,$K367))/100,0))</f>
        <v/>
      </c>
      <c r="P367" s="10" t="n"/>
    </row>
    <row r="368">
      <c r="F368" s="6" t="n"/>
      <c r="G368" s="7" t="n"/>
      <c r="H368" s="7" t="n"/>
      <c r="I368" s="7" t="n"/>
      <c r="J368" s="7" t="n"/>
      <c r="K368" s="8" t="n"/>
      <c r="L368" s="9">
        <f>IF(AND($H368="",OR($G368="",$I368="")),"",ROUND(((IF($H368="",$I368-$G368,$H368))-(MIN(IF($J368="",0,$J368),(IF($H368="",$I368-$G368,$H368))/2)))*(IF($K368="",'تنظیمات'!$B$2,$K368))/100,0))</f>
        <v/>
      </c>
      <c r="P368" s="10" t="n"/>
    </row>
    <row r="369">
      <c r="F369" s="6" t="n"/>
      <c r="G369" s="7" t="n"/>
      <c r="H369" s="7" t="n"/>
      <c r="I369" s="7" t="n"/>
      <c r="J369" s="7" t="n"/>
      <c r="K369" s="8" t="n"/>
      <c r="L369" s="9">
        <f>IF(AND($H369="",OR($G369="",$I369="")),"",ROUND(((IF($H369="",$I369-$G369,$H369))-(MIN(IF($J369="",0,$J369),(IF($H369="",$I369-$G369,$H369))/2)))*(IF($K369="",'تنظیمات'!$B$2,$K369))/100,0))</f>
        <v/>
      </c>
      <c r="P369" s="10" t="n"/>
    </row>
    <row r="370">
      <c r="F370" s="6" t="n"/>
      <c r="G370" s="7" t="n"/>
      <c r="H370" s="7" t="n"/>
      <c r="I370" s="7" t="n"/>
      <c r="J370" s="7" t="n"/>
      <c r="K370" s="8" t="n"/>
      <c r="L370" s="9">
        <f>IF(AND($H370="",OR($G370="",$I370="")),"",ROUND(((IF($H370="",$I370-$G370,$H370))-(MIN(IF($J370="",0,$J370),(IF($H370="",$I370-$G370,$H370))/2)))*(IF($K370="",'تنظیمات'!$B$2,$K370))/100,0))</f>
        <v/>
      </c>
      <c r="P370" s="10" t="n"/>
    </row>
    <row r="371">
      <c r="F371" s="6" t="n"/>
      <c r="G371" s="7" t="n"/>
      <c r="H371" s="7" t="n"/>
      <c r="I371" s="7" t="n"/>
      <c r="J371" s="7" t="n"/>
      <c r="K371" s="8" t="n"/>
      <c r="L371" s="9">
        <f>IF(AND($H371="",OR($G371="",$I371="")),"",ROUND(((IF($H371="",$I371-$G371,$H371))-(MIN(IF($J371="",0,$J371),(IF($H371="",$I371-$G371,$H371))/2)))*(IF($K371="",'تنظیمات'!$B$2,$K371))/100,0))</f>
        <v/>
      </c>
      <c r="P371" s="10" t="n"/>
    </row>
    <row r="372">
      <c r="F372" s="6" t="n"/>
      <c r="G372" s="7" t="n"/>
      <c r="H372" s="7" t="n"/>
      <c r="I372" s="7" t="n"/>
      <c r="J372" s="7" t="n"/>
      <c r="K372" s="8" t="n"/>
      <c r="L372" s="9">
        <f>IF(AND($H372="",OR($G372="",$I372="")),"",ROUND(((IF($H372="",$I372-$G372,$H372))-(MIN(IF($J372="",0,$J372),(IF($H372="",$I372-$G372,$H372))/2)))*(IF($K372="",'تنظیمات'!$B$2,$K372))/100,0))</f>
        <v/>
      </c>
      <c r="P372" s="10" t="n"/>
    </row>
    <row r="373">
      <c r="F373" s="6" t="n"/>
      <c r="G373" s="7" t="n"/>
      <c r="H373" s="7" t="n"/>
      <c r="I373" s="7" t="n"/>
      <c r="J373" s="7" t="n"/>
      <c r="K373" s="8" t="n"/>
      <c r="L373" s="9">
        <f>IF(AND($H373="",OR($G373="",$I373="")),"",ROUND(((IF($H373="",$I373-$G373,$H373))-(MIN(IF($J373="",0,$J373),(IF($H373="",$I373-$G373,$H373))/2)))*(IF($K373="",'تنظیمات'!$B$2,$K373))/100,0))</f>
        <v/>
      </c>
      <c r="P373" s="10" t="n"/>
    </row>
    <row r="374">
      <c r="F374" s="6" t="n"/>
      <c r="G374" s="7" t="n"/>
      <c r="H374" s="7" t="n"/>
      <c r="I374" s="7" t="n"/>
      <c r="J374" s="7" t="n"/>
      <c r="K374" s="8" t="n"/>
      <c r="L374" s="9">
        <f>IF(AND($H374="",OR($G374="",$I374="")),"",ROUND(((IF($H374="",$I374-$G374,$H374))-(MIN(IF($J374="",0,$J374),(IF($H374="",$I374-$G374,$H374))/2)))*(IF($K374="",'تنظیمات'!$B$2,$K374))/100,0))</f>
        <v/>
      </c>
      <c r="P374" s="10" t="n"/>
    </row>
    <row r="375">
      <c r="F375" s="6" t="n"/>
      <c r="G375" s="7" t="n"/>
      <c r="H375" s="7" t="n"/>
      <c r="I375" s="7" t="n"/>
      <c r="J375" s="7" t="n"/>
      <c r="K375" s="8" t="n"/>
      <c r="L375" s="9">
        <f>IF(AND($H375="",OR($G375="",$I375="")),"",ROUND(((IF($H375="",$I375-$G375,$H375))-(MIN(IF($J375="",0,$J375),(IF($H375="",$I375-$G375,$H375))/2)))*(IF($K375="",'تنظیمات'!$B$2,$K375))/100,0))</f>
        <v/>
      </c>
      <c r="P375" s="10" t="n"/>
    </row>
    <row r="376">
      <c r="F376" s="6" t="n"/>
      <c r="G376" s="7" t="n"/>
      <c r="H376" s="7" t="n"/>
      <c r="I376" s="7" t="n"/>
      <c r="J376" s="7" t="n"/>
      <c r="K376" s="8" t="n"/>
      <c r="L376" s="9">
        <f>IF(AND($H376="",OR($G376="",$I376="")),"",ROUND(((IF($H376="",$I376-$G376,$H376))-(MIN(IF($J376="",0,$J376),(IF($H376="",$I376-$G376,$H376))/2)))*(IF($K376="",'تنظیمات'!$B$2,$K376))/100,0))</f>
        <v/>
      </c>
      <c r="P376" s="10" t="n"/>
    </row>
    <row r="377">
      <c r="F377" s="6" t="n"/>
      <c r="G377" s="7" t="n"/>
      <c r="H377" s="7" t="n"/>
      <c r="I377" s="7" t="n"/>
      <c r="J377" s="7" t="n"/>
      <c r="K377" s="8" t="n"/>
      <c r="L377" s="9">
        <f>IF(AND($H377="",OR($G377="",$I377="")),"",ROUND(((IF($H377="",$I377-$G377,$H377))-(MIN(IF($J377="",0,$J377),(IF($H377="",$I377-$G377,$H377))/2)))*(IF($K377="",'تنظیمات'!$B$2,$K377))/100,0))</f>
        <v/>
      </c>
      <c r="P377" s="10" t="n"/>
    </row>
    <row r="378">
      <c r="F378" s="6" t="n"/>
      <c r="G378" s="7" t="n"/>
      <c r="H378" s="7" t="n"/>
      <c r="I378" s="7" t="n"/>
      <c r="J378" s="7" t="n"/>
      <c r="K378" s="8" t="n"/>
      <c r="L378" s="9">
        <f>IF(AND($H378="",OR($G378="",$I378="")),"",ROUND(((IF($H378="",$I378-$G378,$H378))-(MIN(IF($J378="",0,$J378),(IF($H378="",$I378-$G378,$H378))/2)))*(IF($K378="",'تنظیمات'!$B$2,$K378))/100,0))</f>
        <v/>
      </c>
      <c r="P378" s="10" t="n"/>
    </row>
    <row r="379">
      <c r="F379" s="6" t="n"/>
      <c r="G379" s="7" t="n"/>
      <c r="H379" s="7" t="n"/>
      <c r="I379" s="7" t="n"/>
      <c r="J379" s="7" t="n"/>
      <c r="K379" s="8" t="n"/>
      <c r="L379" s="9">
        <f>IF(AND($H379="",OR($G379="",$I379="")),"",ROUND(((IF($H379="",$I379-$G379,$H379))-(MIN(IF($J379="",0,$J379),(IF($H379="",$I379-$G379,$H379))/2)))*(IF($K379="",'تنظیمات'!$B$2,$K379))/100,0))</f>
        <v/>
      </c>
      <c r="P379" s="10" t="n"/>
    </row>
    <row r="380">
      <c r="F380" s="6" t="n"/>
      <c r="G380" s="7" t="n"/>
      <c r="H380" s="7" t="n"/>
      <c r="I380" s="7" t="n"/>
      <c r="J380" s="7" t="n"/>
      <c r="K380" s="8" t="n"/>
      <c r="L380" s="9">
        <f>IF(AND($H380="",OR($G380="",$I380="")),"",ROUND(((IF($H380="",$I380-$G380,$H380))-(MIN(IF($J380="",0,$J380),(IF($H380="",$I380-$G380,$H380))/2)))*(IF($K380="",'تنظیمات'!$B$2,$K380))/100,0))</f>
        <v/>
      </c>
      <c r="P380" s="10" t="n"/>
    </row>
    <row r="381">
      <c r="F381" s="6" t="n"/>
      <c r="G381" s="7" t="n"/>
      <c r="H381" s="7" t="n"/>
      <c r="I381" s="7" t="n"/>
      <c r="J381" s="7" t="n"/>
      <c r="K381" s="8" t="n"/>
      <c r="L381" s="9">
        <f>IF(AND($H381="",OR($G381="",$I381="")),"",ROUND(((IF($H381="",$I381-$G381,$H381))-(MIN(IF($J381="",0,$J381),(IF($H381="",$I381-$G381,$H381))/2)))*(IF($K381="",'تنظیمات'!$B$2,$K381))/100,0))</f>
        <v/>
      </c>
      <c r="P381" s="10" t="n"/>
    </row>
    <row r="382">
      <c r="F382" s="6" t="n"/>
      <c r="G382" s="7" t="n"/>
      <c r="H382" s="7" t="n"/>
      <c r="I382" s="7" t="n"/>
      <c r="J382" s="7" t="n"/>
      <c r="K382" s="8" t="n"/>
      <c r="L382" s="9">
        <f>IF(AND($H382="",OR($G382="",$I382="")),"",ROUND(((IF($H382="",$I382-$G382,$H382))-(MIN(IF($J382="",0,$J382),(IF($H382="",$I382-$G382,$H382))/2)))*(IF($K382="",'تنظیمات'!$B$2,$K382))/100,0))</f>
        <v/>
      </c>
      <c r="P382" s="10" t="n"/>
    </row>
    <row r="383">
      <c r="F383" s="6" t="n"/>
      <c r="G383" s="7" t="n"/>
      <c r="H383" s="7" t="n"/>
      <c r="I383" s="7" t="n"/>
      <c r="J383" s="7" t="n"/>
      <c r="K383" s="8" t="n"/>
      <c r="L383" s="9">
        <f>IF(AND($H383="",OR($G383="",$I383="")),"",ROUND(((IF($H383="",$I383-$G383,$H383))-(MIN(IF($J383="",0,$J383),(IF($H383="",$I383-$G383,$H383))/2)))*(IF($K383="",'تنظیمات'!$B$2,$K383))/100,0))</f>
        <v/>
      </c>
      <c r="P383" s="10" t="n"/>
    </row>
    <row r="384">
      <c r="F384" s="6" t="n"/>
      <c r="G384" s="7" t="n"/>
      <c r="H384" s="7" t="n"/>
      <c r="I384" s="7" t="n"/>
      <c r="J384" s="7" t="n"/>
      <c r="K384" s="8" t="n"/>
      <c r="L384" s="9">
        <f>IF(AND($H384="",OR($G384="",$I384="")),"",ROUND(((IF($H384="",$I384-$G384,$H384))-(MIN(IF($J384="",0,$J384),(IF($H384="",$I384-$G384,$H384))/2)))*(IF($K384="",'تنظیمات'!$B$2,$K384))/100,0))</f>
        <v/>
      </c>
      <c r="P384" s="10" t="n"/>
    </row>
    <row r="385">
      <c r="F385" s="6" t="n"/>
      <c r="G385" s="7" t="n"/>
      <c r="H385" s="7" t="n"/>
      <c r="I385" s="7" t="n"/>
      <c r="J385" s="7" t="n"/>
      <c r="K385" s="8" t="n"/>
      <c r="L385" s="9">
        <f>IF(AND($H385="",OR($G385="",$I385="")),"",ROUND(((IF($H385="",$I385-$G385,$H385))-(MIN(IF($J385="",0,$J385),(IF($H385="",$I385-$G385,$H385))/2)))*(IF($K385="",'تنظیمات'!$B$2,$K385))/100,0))</f>
        <v/>
      </c>
      <c r="P385" s="10" t="n"/>
    </row>
    <row r="386">
      <c r="F386" s="6" t="n"/>
      <c r="G386" s="7" t="n"/>
      <c r="H386" s="7" t="n"/>
      <c r="I386" s="7" t="n"/>
      <c r="J386" s="7" t="n"/>
      <c r="K386" s="8" t="n"/>
      <c r="L386" s="9">
        <f>IF(AND($H386="",OR($G386="",$I386="")),"",ROUND(((IF($H386="",$I386-$G386,$H386))-(MIN(IF($J386="",0,$J386),(IF($H386="",$I386-$G386,$H386))/2)))*(IF($K386="",'تنظیمات'!$B$2,$K386))/100,0))</f>
        <v/>
      </c>
      <c r="P386" s="10" t="n"/>
    </row>
    <row r="387">
      <c r="F387" s="6" t="n"/>
      <c r="G387" s="7" t="n"/>
      <c r="H387" s="7" t="n"/>
      <c r="I387" s="7" t="n"/>
      <c r="J387" s="7" t="n"/>
      <c r="K387" s="8" t="n"/>
      <c r="L387" s="9">
        <f>IF(AND($H387="",OR($G387="",$I387="")),"",ROUND(((IF($H387="",$I387-$G387,$H387))-(MIN(IF($J387="",0,$J387),(IF($H387="",$I387-$G387,$H387))/2)))*(IF($K387="",'تنظیمات'!$B$2,$K387))/100,0))</f>
        <v/>
      </c>
      <c r="P387" s="10" t="n"/>
    </row>
    <row r="388">
      <c r="F388" s="6" t="n"/>
      <c r="G388" s="7" t="n"/>
      <c r="H388" s="7" t="n"/>
      <c r="I388" s="7" t="n"/>
      <c r="J388" s="7" t="n"/>
      <c r="K388" s="8" t="n"/>
      <c r="L388" s="9">
        <f>IF(AND($H388="",OR($G388="",$I388="")),"",ROUND(((IF($H388="",$I388-$G388,$H388))-(MIN(IF($J388="",0,$J388),(IF($H388="",$I388-$G388,$H388))/2)))*(IF($K388="",'تنظیمات'!$B$2,$K388))/100,0))</f>
        <v/>
      </c>
      <c r="P388" s="10" t="n"/>
    </row>
    <row r="389">
      <c r="F389" s="6" t="n"/>
      <c r="G389" s="7" t="n"/>
      <c r="H389" s="7" t="n"/>
      <c r="I389" s="7" t="n"/>
      <c r="J389" s="7" t="n"/>
      <c r="K389" s="8" t="n"/>
      <c r="L389" s="9">
        <f>IF(AND($H389="",OR($G389="",$I389="")),"",ROUND(((IF($H389="",$I389-$G389,$H389))-(MIN(IF($J389="",0,$J389),(IF($H389="",$I389-$G389,$H389))/2)))*(IF($K389="",'تنظیمات'!$B$2,$K389))/100,0))</f>
        <v/>
      </c>
      <c r="P389" s="10" t="n"/>
    </row>
    <row r="390">
      <c r="F390" s="6" t="n"/>
      <c r="G390" s="7" t="n"/>
      <c r="H390" s="7" t="n"/>
      <c r="I390" s="7" t="n"/>
      <c r="J390" s="7" t="n"/>
      <c r="K390" s="8" t="n"/>
      <c r="L390" s="9">
        <f>IF(AND($H390="",OR($G390="",$I390="")),"",ROUND(((IF($H390="",$I390-$G390,$H390))-(MIN(IF($J390="",0,$J390),(IF($H390="",$I390-$G390,$H390))/2)))*(IF($K390="",'تنظیمات'!$B$2,$K390))/100,0))</f>
        <v/>
      </c>
      <c r="P390" s="10" t="n"/>
    </row>
    <row r="391">
      <c r="F391" s="6" t="n"/>
      <c r="G391" s="7" t="n"/>
      <c r="H391" s="7" t="n"/>
      <c r="I391" s="7" t="n"/>
      <c r="J391" s="7" t="n"/>
      <c r="K391" s="8" t="n"/>
      <c r="L391" s="9">
        <f>IF(AND($H391="",OR($G391="",$I391="")),"",ROUND(((IF($H391="",$I391-$G391,$H391))-(MIN(IF($J391="",0,$J391),(IF($H391="",$I391-$G391,$H391))/2)))*(IF($K391="",'تنظیمات'!$B$2,$K391))/100,0))</f>
        <v/>
      </c>
      <c r="P391" s="10" t="n"/>
    </row>
    <row r="392">
      <c r="F392" s="6" t="n"/>
      <c r="G392" s="7" t="n"/>
      <c r="H392" s="7" t="n"/>
      <c r="I392" s="7" t="n"/>
      <c r="J392" s="7" t="n"/>
      <c r="K392" s="8" t="n"/>
      <c r="L392" s="9">
        <f>IF(AND($H392="",OR($G392="",$I392="")),"",ROUND(((IF($H392="",$I392-$G392,$H392))-(MIN(IF($J392="",0,$J392),(IF($H392="",$I392-$G392,$H392))/2)))*(IF($K392="",'تنظیمات'!$B$2,$K392))/100,0))</f>
        <v/>
      </c>
      <c r="P392" s="10" t="n"/>
    </row>
    <row r="393">
      <c r="F393" s="6" t="n"/>
      <c r="G393" s="7" t="n"/>
      <c r="H393" s="7" t="n"/>
      <c r="I393" s="7" t="n"/>
      <c r="J393" s="7" t="n"/>
      <c r="K393" s="8" t="n"/>
      <c r="L393" s="9">
        <f>IF(AND($H393="",OR($G393="",$I393="")),"",ROUND(((IF($H393="",$I393-$G393,$H393))-(MIN(IF($J393="",0,$J393),(IF($H393="",$I393-$G393,$H393))/2)))*(IF($K393="",'تنظیمات'!$B$2,$K393))/100,0))</f>
        <v/>
      </c>
      <c r="P393" s="10" t="n"/>
    </row>
    <row r="394">
      <c r="F394" s="6" t="n"/>
      <c r="G394" s="7" t="n"/>
      <c r="H394" s="7" t="n"/>
      <c r="I394" s="7" t="n"/>
      <c r="J394" s="7" t="n"/>
      <c r="K394" s="8" t="n"/>
      <c r="L394" s="9">
        <f>IF(AND($H394="",OR($G394="",$I394="")),"",ROUND(((IF($H394="",$I394-$G394,$H394))-(MIN(IF($J394="",0,$J394),(IF($H394="",$I394-$G394,$H394))/2)))*(IF($K394="",'تنظیمات'!$B$2,$K394))/100,0))</f>
        <v/>
      </c>
      <c r="P394" s="10" t="n"/>
    </row>
    <row r="395">
      <c r="F395" s="6" t="n"/>
      <c r="G395" s="7" t="n"/>
      <c r="H395" s="7" t="n"/>
      <c r="I395" s="7" t="n"/>
      <c r="J395" s="7" t="n"/>
      <c r="K395" s="8" t="n"/>
      <c r="L395" s="9">
        <f>IF(AND($H395="",OR($G395="",$I395="")),"",ROUND(((IF($H395="",$I395-$G395,$H395))-(MIN(IF($J395="",0,$J395),(IF($H395="",$I395-$G395,$H395))/2)))*(IF($K395="",'تنظیمات'!$B$2,$K395))/100,0))</f>
        <v/>
      </c>
      <c r="P395" s="10" t="n"/>
    </row>
    <row r="396">
      <c r="F396" s="6" t="n"/>
      <c r="G396" s="7" t="n"/>
      <c r="H396" s="7" t="n"/>
      <c r="I396" s="7" t="n"/>
      <c r="J396" s="7" t="n"/>
      <c r="K396" s="8" t="n"/>
      <c r="L396" s="9">
        <f>IF(AND($H396="",OR($G396="",$I396="")),"",ROUND(((IF($H396="",$I396-$G396,$H396))-(MIN(IF($J396="",0,$J396),(IF($H396="",$I396-$G396,$H396))/2)))*(IF($K396="",'تنظیمات'!$B$2,$K396))/100,0))</f>
        <v/>
      </c>
      <c r="P396" s="10" t="n"/>
    </row>
    <row r="397">
      <c r="F397" s="6" t="n"/>
      <c r="G397" s="7" t="n"/>
      <c r="H397" s="7" t="n"/>
      <c r="I397" s="7" t="n"/>
      <c r="J397" s="7" t="n"/>
      <c r="K397" s="8" t="n"/>
      <c r="L397" s="9">
        <f>IF(AND($H397="",OR($G397="",$I397="")),"",ROUND(((IF($H397="",$I397-$G397,$H397))-(MIN(IF($J397="",0,$J397),(IF($H397="",$I397-$G397,$H397))/2)))*(IF($K397="",'تنظیمات'!$B$2,$K397))/100,0))</f>
        <v/>
      </c>
      <c r="P397" s="10" t="n"/>
    </row>
    <row r="398">
      <c r="F398" s="6" t="n"/>
      <c r="G398" s="7" t="n"/>
      <c r="H398" s="7" t="n"/>
      <c r="I398" s="7" t="n"/>
      <c r="J398" s="7" t="n"/>
      <c r="K398" s="8" t="n"/>
      <c r="L398" s="9">
        <f>IF(AND($H398="",OR($G398="",$I398="")),"",ROUND(((IF($H398="",$I398-$G398,$H398))-(MIN(IF($J398="",0,$J398),(IF($H398="",$I398-$G398,$H398))/2)))*(IF($K398="",'تنظیمات'!$B$2,$K398))/100,0))</f>
        <v/>
      </c>
      <c r="P398" s="10" t="n"/>
    </row>
    <row r="399">
      <c r="F399" s="6" t="n"/>
      <c r="G399" s="7" t="n"/>
      <c r="H399" s="7" t="n"/>
      <c r="I399" s="7" t="n"/>
      <c r="J399" s="7" t="n"/>
      <c r="K399" s="8" t="n"/>
      <c r="L399" s="9">
        <f>IF(AND($H399="",OR($G399="",$I399="")),"",ROUND(((IF($H399="",$I399-$G399,$H399))-(MIN(IF($J399="",0,$J399),(IF($H399="",$I399-$G399,$H399))/2)))*(IF($K399="",'تنظیمات'!$B$2,$K399))/100,0))</f>
        <v/>
      </c>
      <c r="P399" s="10" t="n"/>
    </row>
    <row r="400">
      <c r="F400" s="6" t="n"/>
      <c r="G400" s="7" t="n"/>
      <c r="H400" s="7" t="n"/>
      <c r="I400" s="7" t="n"/>
      <c r="J400" s="7" t="n"/>
      <c r="K400" s="8" t="n"/>
      <c r="L400" s="9">
        <f>IF(AND($H400="",OR($G400="",$I400="")),"",ROUND(((IF($H400="",$I400-$G400,$H400))-(MIN(IF($J400="",0,$J400),(IF($H400="",$I400-$G400,$H400))/2)))*(IF($K400="",'تنظیمات'!$B$2,$K400))/100,0))</f>
        <v/>
      </c>
      <c r="P400" s="10" t="n"/>
    </row>
  </sheetData>
  <autoFilter ref="A1:R1"/>
  <dataValidations count="5">
    <dataValidation sqref="M2:M400" showDropDown="0" showInputMessage="0" showErrorMessage="0" allowBlank="1" error="فقط «بله» یا «خیر»" type="list">
      <formula1>"بله,خیر"</formula1>
    </dataValidation>
    <dataValidation sqref="D2:D400" showDropDown="0" showInputMessage="0" showErrorMessage="0" allowBlank="1" error="از لیست انتخاب کنید. دسته تازه لازم دارید؟ به ما بگویید." type="list">
      <formula1>"پروتئین,کراتین,افزایش وزن,قبل تمرین,آمینو و BCAA,ویتامین و مکمل"</formula1>
    </dataValidation>
    <dataValidation sqref="K2:K400" showDropDown="0" showInputMessage="0" showErrorMessage="0" allowBlank="1" errorTitle="مرحله ۲" error="این ستون مربوط به توافق درصد است و در مرحله دوم پر می‌شود.&#10;اگر دارید محصولات را وارد می‌کنید، خالی بگذارید و No بزنید.&#10;عدد باید بین ۰ تا ۱۰۰ باشد." type="decimal" errorStyle="warning" operator="between">
      <formula1>0</formula1>
      <formula2>100</formula2>
    </dataValidation>
    <dataValidation sqref="F2:F400" showDropDown="0" showInputMessage="0" showErrorMessage="0" allowBlank="1" error="قیمت خرید به درهم است، نه تومان. مثلاً 40" type="decimal" operator="between">
      <formula1>0.01</formula1>
      <formula2>20000</formula2>
    </dataValidation>
    <dataValidation sqref="G2:G400" showDropDown="0" showInputMessage="0" showErrorMessage="0" allowBlank="1" error="این ستون به تومان است. اگر خرید به درهم بوده، ستون کناری را پر کنید." type="whole" operator="greaterThanOrEqual">
      <formula1>10000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>
      <c r="A1" s="11" t="inlineStr">
        <is>
          <t>تنظیم</t>
        </is>
      </c>
      <c r="B1" s="11" t="inlineStr">
        <is>
          <t>مقدار</t>
        </is>
      </c>
      <c r="C1" s="11" t="inlineStr">
        <is>
          <t>توضیح</t>
        </is>
      </c>
    </row>
    <row r="2" ht="62" customHeight="1">
      <c r="A2" s="12" t="inlineStr">
        <is>
          <t>درصد پیش‌فرض همکاری</t>
        </is>
      </c>
      <c r="B2" s="13" t="n">
        <v>15</v>
      </c>
      <c r="C2" s="14" t="inlineStr">
        <is>
          <t>هر سطری که ستون «درصد همکاری»اش خالی باشد، از این عدد استفاده می‌کند. فقط برای محاسبه در همین فایل است؛ درصد اصلی در پنل تنظیم می‌شود.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5" t="inlineStr">
        <is>
          <t>مورد</t>
        </is>
      </c>
      <c r="B1" s="15" t="inlineStr">
        <is>
          <t>توضیح</t>
        </is>
      </c>
    </row>
    <row r="2" ht="50" customHeight="1">
      <c r="A2" s="16" t="inlineStr">
        <is>
          <t>مرحله ۱ — محصولات</t>
        </is>
      </c>
      <c r="B2" s="17" t="inlineStr">
        <is>
          <t>همه ستون‌ها را پر کنید به‌جز «درصد همکاری» — همان ستون خاکستری که عنوانش طلایی است.</t>
        </is>
      </c>
    </row>
    <row r="3" ht="50" customHeight="1">
      <c r="A3" s="16" t="inlineStr">
        <is>
          <t>مرحله ۲ — درصد</t>
        </is>
      </c>
      <c r="B3" s="17" t="inlineStr">
        <is>
          <t>بعد از اینکه محصولات کامل شد، روی همین فایل ستون درصد همکاری با هم پر می‌شود. فایل دومی در کار نیست.</t>
        </is>
      </c>
    </row>
    <row r="4" ht="50" customHeight="1">
      <c r="A4" s="18" t="inlineStr">
        <is>
          <t>مهم‌ترین قانون</t>
        </is>
      </c>
      <c r="B4" s="14" t="inlineStr">
        <is>
          <t>برای هر اندازه، یک سطر جداگانه. قوطی ۹۰۰ گرمی و ۲۲۷۰ گرمی دو خرید جدا با دو قیمت جدا هستند. نام فارسی را در هر دو سطر دقیقاً یکسان بنویسید — سیستم از روی همین نام، سطرها را یک محصول می‌کند.</t>
        </is>
      </c>
    </row>
    <row r="5" ht="50" customHeight="1">
      <c r="A5" s="18" t="inlineStr">
        <is>
          <t>محصول تک‌اندازه</t>
        </is>
      </c>
      <c r="B5" s="14" t="inlineStr">
        <is>
          <t>ستون «اندازه» را خالی بگذارید.</t>
        </is>
      </c>
    </row>
    <row r="6" ht="50" customHeight="1">
      <c r="A6" s="18" t="inlineStr">
        <is>
          <t>قیمت — سه راه</t>
        </is>
      </c>
      <c r="B6" s="14" t="inlineStr">
        <is>
          <t>۱) خرید درهمی + سود → قیمت با نرخ روز درهم ساخته می‌شود و خودش به‌روز می‌ماند.  ۲) خرید تومانی + سود → قیمت ثابت.  ۳) خرید تومانی + قیمت فروش → وقتی قیمت را بازار تعیین کرده. یکی از این سه را انتخاب کنید.</t>
        </is>
      </c>
    </row>
    <row r="7" ht="50" customHeight="1">
      <c r="A7" s="18" t="inlineStr">
        <is>
          <t>قیمت خرید (درهم)</t>
        </is>
      </c>
      <c r="B7" s="14" t="inlineStr">
        <is>
          <t>عدد درهمی که برای خرید همان یک قوطی داده‌اید — مثلاً 40. قیمت کارتن ننویسید. قیمت این قلم با نرخ روز درهم خودش به‌روز می‌شود.</t>
        </is>
      </c>
    </row>
    <row r="8" ht="50" customHeight="1">
      <c r="A8" s="18" t="inlineStr">
        <is>
          <t>قیمت خرید (تومان)</t>
        </is>
      </c>
      <c r="B8" s="14" t="inlineStr">
        <is>
          <t>برای قلمی که داخل ایران خریده می‌شود. فقط یکی از این دو ستون خرید را پر کنید، نه هر دو را. قیمت این قلم ثابت می‌ماند و با نرخ درهم تکان نمی‌خورد.</t>
        </is>
      </c>
    </row>
    <row r="9" ht="50" customHeight="1">
      <c r="A9" s="18" t="inlineStr">
        <is>
          <t>سود (تومان)</t>
        </is>
      </c>
      <c r="B9" s="14" t="inlineStr">
        <is>
          <t>سودی که روی همان یک قوطی می‌خواهید. قیمت فروش خودکار از قیمت خرید + همین عدد ساخته می‌شود.</t>
        </is>
      </c>
    </row>
    <row r="10" ht="50" customHeight="1">
      <c r="A10" s="18" t="inlineStr">
        <is>
          <t>قیمت فروش (تومان)</t>
        </is>
      </c>
      <c r="B10" s="14" t="inlineStr">
        <is>
          <t>فقط وقتی قیمت را بازار تعیین کرده، نه حاشیه سود شما. آن وقت سود را خالی بگذارید ولی قیمت خرید تومانی را حتماً بنویسید — بدون آن، سود این قلم در گزارش‌ها صفر دیده می‌شود.</t>
        </is>
      </c>
    </row>
    <row r="11" ht="50" customHeight="1">
      <c r="A11" s="18" t="inlineStr">
        <is>
          <t>تخفیف (تومان)</t>
        </is>
      </c>
      <c r="B11" s="14" t="inlineStr">
        <is>
          <t>مقداری که از قیمت کم می‌شود، نه قیمت دوم. بیشتر از نیمی از سود پذیرفته نمی‌شود. ندارید ← خالی.</t>
        </is>
      </c>
    </row>
    <row r="12" ht="50" customHeight="1">
      <c r="A12" s="16" t="inlineStr">
        <is>
          <t>درصد همکاری</t>
        </is>
      </c>
      <c r="B12" s="17" t="inlineStr">
        <is>
          <t>مرحله ۲. خالی = درصد پیش‌فرض فروشگاه. فقط برای قلمی عدد بنویسید که جداگانه توافق شده — مثلاً قلمی که رقیب زیاد دارد و حاشیه سودش کم است. صفر یعنی «روی این قلم سهمی برداشته نشود» و با خالی یکی نیست.</t>
        </is>
      </c>
    </row>
    <row r="13" ht="50" customHeight="1">
      <c r="A13" s="18" t="inlineStr">
        <is>
          <t>سهم ما (تومان)</t>
        </is>
      </c>
      <c r="B13" s="14" t="inlineStr">
        <is>
          <t>خودکار حساب می‌شود — تایپ نکنید. سهم ما به تومان، روی سود همان قوطی: سود منهای تخفیف، ضرب در درصد. سطرهایی که درصدشان خالی است از عدد برگه «تنظیمات» استفاده می‌کنند، تا بشود چند درصد را امتحان کرد و نتیجه را دید.</t>
        </is>
      </c>
    </row>
    <row r="14" ht="50" customHeight="1">
      <c r="A14" s="18" t="inlineStr">
        <is>
          <t>دسته</t>
        </is>
      </c>
      <c r="B14" s="14" t="inlineStr">
        <is>
          <t>از لیست کشویی همین ستون انتخاب کنید. دستی ننویسید — «پروتئین» و «پروتئین‌ها» دو دسته جدا می‌شوند. اگر دسته‌ای کم است، به ما بگویید تا اضافه کنیم.</t>
        </is>
      </c>
    </row>
    <row r="15" ht="50" customHeight="1">
      <c r="A15" s="18" t="inlineStr">
        <is>
          <t>طعم‌ها</t>
        </is>
      </c>
      <c r="B15" s="14" t="inlineStr">
        <is>
          <t>با ویرگول جدا کنید: شکلاتی، وانیلی، توت فرنگی. فقط روی سطر اول هر محصول کافی است.</t>
        </is>
      </c>
    </row>
    <row r="16" ht="50" customHeight="1">
      <c r="A16" s="18" t="inlineStr">
        <is>
          <t>موجود</t>
        </is>
      </c>
      <c r="B16" s="14" t="inlineStr">
        <is>
          <t>«بله» یا «خیر». خالی یعنی موجود.</t>
        </is>
      </c>
    </row>
    <row r="17" ht="50" customHeight="1">
      <c r="A17" s="18" t="inlineStr">
        <is>
          <t>تعداد وعده</t>
        </is>
      </c>
      <c r="B17" s="14" t="inlineStr">
        <is>
          <t>چند وعده داخل همان قوطی است. اختیاری.</t>
        </is>
      </c>
    </row>
    <row r="18" ht="50" customHeight="1">
      <c r="A18" s="18" t="inlineStr">
        <is>
          <t>مشخصات کلیدی</t>
        </is>
      </c>
      <c r="B18" s="14" t="inlineStr">
        <is>
          <t>۲ تا ۳ نکتهٔ کوتاه که روی کارت محصول، وقتی موس روی آن می‌رود، نشان داده می‌شود — مثلاً «۲۴ گرم پروتئین در هر پیمانه». هر نکته را در یک خط بنویسید (داخل سلول با Alt+Enter) یا با «؛» جدا کنید — نه با ویرگول، چون خودِ جمله ویرگول دارد. اختیاری.</t>
        </is>
      </c>
    </row>
    <row r="19" ht="50" customHeight="1">
      <c r="A19" s="18" t="inlineStr">
        <is>
          <t>توضیح کوتاه</t>
        </is>
      </c>
      <c r="B19" s="14" t="inlineStr">
        <is>
          <t>یک خط، زیر نام محصول در لیست دیده می‌شود.</t>
        </is>
      </c>
    </row>
    <row r="20" ht="50" customHeight="1">
      <c r="A20" s="18" t="inlineStr">
        <is>
          <t>توضیح کامل</t>
        </is>
      </c>
      <c r="B20" s="14" t="inlineStr">
        <is>
          <t>متن کامل صفحه محصول. اختیاری — بعداً هم می‌شود نوشت.</t>
        </is>
      </c>
    </row>
    <row r="21" ht="50" customHeight="1">
      <c r="A21" s="18" t="inlineStr">
        <is>
          <t>عکس محصول</t>
        </is>
      </c>
      <c r="B21" s="14" t="inlineStr">
        <is>
          <t>داخل این فایل نمی‌آید. عکس‌ها را جداگانه بفرستید؛ نام فایل هر عکس را همان نام فارسی محصول بگذارید.</t>
        </is>
      </c>
    </row>
    <row r="22" ht="50" customHeight="1">
      <c r="A22" s="18" t="inlineStr">
        <is>
          <t>وقتی تمام شد</t>
        </is>
      </c>
      <c r="B22" s="14" t="inlineStr">
        <is>
          <t>سطرهای نمونه (خاکستری) را پاک کنید و همین فایل اکسل را پس بفرستید. لازم نیست تبدیلش کنید.</t>
        </is>
      </c>
    </row>
    <row r="23" ht="50" customHeight="1">
      <c r="A23" s="18" t="inlineStr">
        <is>
          <t>عنوان ستون‌ها</t>
        </is>
      </c>
      <c r="B23" s="14" t="inlineStr">
        <is>
          <t>عوض نکنید و پاک نکنید. ستون تازه هم اضافه نکنید.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2026-08-29T17:23:25Z</dcterms:created>
  <dcterms:modified xsi:type="dcterms:W3CDTF">2026-08-29T17:23:25Z</dcterms:modified>
</cp:coreProperties>
</file>